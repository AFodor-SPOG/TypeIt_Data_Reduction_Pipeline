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ogs/Desktop/Paper 2 and 3 Work/LDT-Pipeline/Binning Work/"/>
    </mc:Choice>
  </mc:AlternateContent>
  <xr:revisionPtr revIDLastSave="0" documentId="13_ncr:1_{22F04E87-0950-A64F-9EEC-45484723C621}" xr6:coauthVersionLast="47" xr6:coauthVersionMax="47" xr10:uidLastSave="{00000000-0000-0000-0000-000000000000}"/>
  <bookViews>
    <workbookView xWindow="0" yWindow="1100" windowWidth="32500" windowHeight="19000" xr2:uid="{AC8B4E1D-7199-4445-A244-CEF2E3FE9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4" i="1" l="1"/>
  <c r="V112" i="1"/>
  <c r="T112" i="1"/>
  <c r="AC112" i="1" s="1"/>
  <c r="J112" i="1"/>
  <c r="V111" i="1"/>
  <c r="T111" i="1"/>
  <c r="AC111" i="1"/>
  <c r="J111" i="1"/>
  <c r="V110" i="1"/>
  <c r="T110" i="1"/>
  <c r="AC110" i="1"/>
  <c r="J110" i="1"/>
  <c r="Y112" i="1"/>
  <c r="Y111" i="1"/>
  <c r="Y110" i="1"/>
  <c r="J109" i="1"/>
  <c r="V109" i="1"/>
  <c r="T109" i="1"/>
  <c r="AC109" i="1" s="1"/>
  <c r="J108" i="1"/>
  <c r="J107" i="1"/>
  <c r="J106" i="1"/>
  <c r="J105" i="1"/>
  <c r="V101" i="1"/>
  <c r="V102" i="1"/>
  <c r="V103" i="1"/>
  <c r="V104" i="1"/>
  <c r="V105" i="1"/>
  <c r="V106" i="1"/>
  <c r="V107" i="1"/>
  <c r="V108" i="1"/>
  <c r="T102" i="1"/>
  <c r="T103" i="1"/>
  <c r="AC103" i="1" s="1"/>
  <c r="T104" i="1"/>
  <c r="T105" i="1"/>
  <c r="T106" i="1"/>
  <c r="AC106" i="1" s="1"/>
  <c r="T107" i="1"/>
  <c r="T108" i="1"/>
  <c r="J104" i="1"/>
  <c r="AC104" i="1"/>
  <c r="AC105" i="1"/>
  <c r="AC107" i="1"/>
  <c r="AC108" i="1"/>
  <c r="Y103" i="1"/>
  <c r="Y104" i="1"/>
  <c r="Y105" i="1"/>
  <c r="Y106" i="1"/>
  <c r="Y107" i="1"/>
  <c r="Y108" i="1"/>
  <c r="Y109" i="1"/>
  <c r="J103" i="1"/>
  <c r="AC3" i="1"/>
  <c r="AC4" i="1"/>
  <c r="AC5" i="1"/>
  <c r="AC6" i="1"/>
  <c r="AC7" i="1"/>
  <c r="AC8" i="1"/>
  <c r="AC9" i="1"/>
  <c r="AC10" i="1"/>
  <c r="AC11" i="1"/>
  <c r="AC12" i="1"/>
  <c r="AC1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2" i="1"/>
</calcChain>
</file>

<file path=xl/sharedStrings.xml><?xml version="1.0" encoding="utf-8"?>
<sst xmlns="http://schemas.openxmlformats.org/spreadsheetml/2006/main" count="368" uniqueCount="149">
  <si>
    <t>SDSS Name</t>
  </si>
  <si>
    <t>RA</t>
  </si>
  <si>
    <t>Dec</t>
  </si>
  <si>
    <t>Redshift</t>
  </si>
  <si>
    <t>Kpc/arcseconds scale</t>
  </si>
  <si>
    <t>bin aim 1 (kpc)</t>
  </si>
  <si>
    <t>rough pixels</t>
  </si>
  <si>
    <t>rounded pixels</t>
  </si>
  <si>
    <t>actual bin size (kpc)</t>
  </si>
  <si>
    <t>Column1</t>
  </si>
  <si>
    <t>Column2</t>
  </si>
  <si>
    <t>Column3</t>
  </si>
  <si>
    <t>Column4</t>
  </si>
  <si>
    <t>Column5</t>
  </si>
  <si>
    <t>Bin size (Pixels)</t>
  </si>
  <si>
    <t>Setting</t>
  </si>
  <si>
    <t>Column6</t>
  </si>
  <si>
    <t>Actual bin size (kpc)7</t>
  </si>
  <si>
    <t>Luminosity Distance (Mpc)</t>
  </si>
  <si>
    <t>Luminosity Distance (kpc)</t>
  </si>
  <si>
    <t>Angular size (Mpc)</t>
  </si>
  <si>
    <t>Angular size (kpc)</t>
  </si>
  <si>
    <t>Major Diameter</t>
  </si>
  <si>
    <t>Minor Diameter</t>
  </si>
  <si>
    <t>b/a</t>
  </si>
  <si>
    <t>Redshift2</t>
  </si>
  <si>
    <t>SDSS Name2</t>
  </si>
  <si>
    <t>Interloper</t>
  </si>
  <si>
    <t>Luminosity Distance (cm)</t>
  </si>
  <si>
    <t>J0142+1309</t>
  </si>
  <si>
    <t>A</t>
  </si>
  <si>
    <t>J1136+5811</t>
  </si>
  <si>
    <t>J0826+4558</t>
  </si>
  <si>
    <t>J0846+1342</t>
  </si>
  <si>
    <t>J1148+5459</t>
  </si>
  <si>
    <t>J1159+3043</t>
  </si>
  <si>
    <t>J1156+2829</t>
  </si>
  <si>
    <t>J0843+2205</t>
  </si>
  <si>
    <t>J0821+2238</t>
  </si>
  <si>
    <t>J0923+1954</t>
  </si>
  <si>
    <t>J1540+5106</t>
  </si>
  <si>
    <t>J0939+1130</t>
  </si>
  <si>
    <t>J0813+2434</t>
  </si>
  <si>
    <t>J0951+2255</t>
  </si>
  <si>
    <t>J0320-0105</t>
  </si>
  <si>
    <t>J0759+5516</t>
  </si>
  <si>
    <t>J0316-0002</t>
  </si>
  <si>
    <t>J1334+3411</t>
  </si>
  <si>
    <t>J1358+0227</t>
  </si>
  <si>
    <t>J0824+1823</t>
  </si>
  <si>
    <t>J1007+3240</t>
  </si>
  <si>
    <t>J1732+5958</t>
  </si>
  <si>
    <t>J1718+3007</t>
  </si>
  <si>
    <t>J1307+5350</t>
  </si>
  <si>
    <t>J2129-0010</t>
  </si>
  <si>
    <t>J0206+1339</t>
  </si>
  <si>
    <t>J1543+1659</t>
  </si>
  <si>
    <t>J1703+2531</t>
  </si>
  <si>
    <t>J0135+1352</t>
  </si>
  <si>
    <t>J1322+2706</t>
  </si>
  <si>
    <t>J1439+5303</t>
  </si>
  <si>
    <t>J0813+2057</t>
  </si>
  <si>
    <t>J0320-0020</t>
  </si>
  <si>
    <t>J0815+3720</t>
  </si>
  <si>
    <t>J0800+3743</t>
  </si>
  <si>
    <t>J0734+2844</t>
  </si>
  <si>
    <t>J1118+5714</t>
  </si>
  <si>
    <t>J1115+2914</t>
  </si>
  <si>
    <t>J2351+1445</t>
  </si>
  <si>
    <t>J0241+0102</t>
  </si>
  <si>
    <t>J1115+2615</t>
  </si>
  <si>
    <t>J0102-0052</t>
  </si>
  <si>
    <t>B</t>
  </si>
  <si>
    <t>J2227-0043</t>
  </si>
  <si>
    <t>J0141-0015</t>
  </si>
  <si>
    <t>J0034-0017</t>
  </si>
  <si>
    <t>J1615+3125</t>
  </si>
  <si>
    <t>J0728+3654</t>
  </si>
  <si>
    <t>J0757+1056</t>
  </si>
  <si>
    <t>J2338-0034</t>
  </si>
  <si>
    <t>J0755+3929</t>
  </si>
  <si>
    <t>J0204+0051</t>
  </si>
  <si>
    <t>J0733+4535</t>
  </si>
  <si>
    <t>J1703+6318</t>
  </si>
  <si>
    <t>J0237+0042</t>
  </si>
  <si>
    <t>J2300+0036</t>
  </si>
  <si>
    <t>J0039+0022</t>
  </si>
  <si>
    <t>J0015+1411</t>
  </si>
  <si>
    <t>J2341+1454</t>
  </si>
  <si>
    <t>J1642+2905</t>
  </si>
  <si>
    <t>J2159-0749</t>
  </si>
  <si>
    <t>J2225-0004</t>
  </si>
  <si>
    <t>J1718+6417</t>
  </si>
  <si>
    <t>J2313+1528</t>
  </si>
  <si>
    <t>J0004-0114</t>
  </si>
  <si>
    <t>J0158-0031</t>
  </si>
  <si>
    <t>J0204+1414</t>
  </si>
  <si>
    <t>J0356-0501</t>
  </si>
  <si>
    <t>J0744+4250</t>
  </si>
  <si>
    <t>J0759+5244</t>
  </si>
  <si>
    <t>J0836+1732</t>
  </si>
  <si>
    <t>J0913+2838</t>
  </si>
  <si>
    <t>J0923+2913</t>
  </si>
  <si>
    <t>J0937+3335</t>
  </si>
  <si>
    <t>J1007+3919</t>
  </si>
  <si>
    <t>J1016+1323</t>
  </si>
  <si>
    <t>J1025+1647</t>
  </si>
  <si>
    <t>J1135+2825</t>
  </si>
  <si>
    <t>J1207+2702</t>
  </si>
  <si>
    <t>J1353+1709</t>
  </si>
  <si>
    <t>J1358+3901</t>
  </si>
  <si>
    <t>J1405+1146</t>
  </si>
  <si>
    <t>J1411+2531</t>
  </si>
  <si>
    <t>J1412+3048</t>
  </si>
  <si>
    <t>J1435+2230</t>
  </si>
  <si>
    <t>J1530+5519</t>
  </si>
  <si>
    <t>J1546+4505</t>
  </si>
  <si>
    <t>J1628+3248</t>
  </si>
  <si>
    <t>J1718+6109</t>
  </si>
  <si>
    <t>J2238+1314</t>
  </si>
  <si>
    <t>J0918+4200</t>
  </si>
  <si>
    <t>J1700+2307</t>
  </si>
  <si>
    <t>J1702+3254</t>
  </si>
  <si>
    <t>J0047+1532</t>
  </si>
  <si>
    <t>J0134-0842</t>
  </si>
  <si>
    <t>J0840+3034</t>
  </si>
  <si>
    <t>J0119+0037</t>
  </si>
  <si>
    <t>J0814+1037</t>
  </si>
  <si>
    <t>J0956+2029</t>
  </si>
  <si>
    <t>J1135+1516</t>
  </si>
  <si>
    <t>J1430+1607</t>
  </si>
  <si>
    <t>J1624+0936</t>
  </si>
  <si>
    <t>This has a strange shape and not part of our current data set, so ignore</t>
  </si>
  <si>
    <t>petrosian radius (arcsec)</t>
  </si>
  <si>
    <t>petrosian radius error</t>
  </si>
  <si>
    <t>J0747+1712</t>
  </si>
  <si>
    <t>J0754+1439</t>
  </si>
  <si>
    <t>J0845+5729</t>
  </si>
  <si>
    <t>J1142+1741</t>
  </si>
  <si>
    <t>J1500+1538</t>
  </si>
  <si>
    <t>J1506+0806</t>
  </si>
  <si>
    <t>J1536+3520</t>
  </si>
  <si>
    <t>J1543+4347</t>
  </si>
  <si>
    <t>J0848+1644</t>
  </si>
  <si>
    <t>What the heck is this error?</t>
  </si>
  <si>
    <t>*Petrosian radius taken from SDSS DR12</t>
  </si>
  <si>
    <t>It looks like a star</t>
  </si>
  <si>
    <t>J0332-0110</t>
  </si>
  <si>
    <t>J0332-0010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</si>
</sst>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3"/>
      <color rgb="FF000000"/>
      <name val="Arial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8BCC-8DA4-4583-973A-506D6611671A}">
  <dimension ref="A1:AF115"/>
  <sheetViews>
    <sheetView tabSelected="1" topLeftCell="T1" zoomScaleNormal="100" workbookViewId="0">
      <selection activeCell="AC22" sqref="AC22"/>
    </sheetView>
  </sheetViews>
  <sheetFormatPr baseColWidth="10" defaultColWidth="8.83203125" defaultRowHeight="15" x14ac:dyDescent="0.2"/>
  <cols>
    <col min="1" max="1" width="16.1640625" customWidth="1"/>
    <col min="6" max="6" width="20.83203125" customWidth="1"/>
    <col min="8" max="8" width="11.1640625" customWidth="1"/>
    <col min="9" max="9" width="14.33203125" customWidth="1"/>
    <col min="10" max="10" width="19.83203125" customWidth="1"/>
    <col min="19" max="19" width="24.5" customWidth="1"/>
    <col min="20" max="20" width="22.83203125" customWidth="1"/>
    <col min="21" max="21" width="18.5" customWidth="1"/>
    <col min="22" max="22" width="18.6640625" customWidth="1"/>
    <col min="23" max="23" width="16.1640625" customWidth="1"/>
    <col min="24" max="24" width="16.83203125" customWidth="1"/>
    <col min="26" max="26" width="11" customWidth="1"/>
    <col min="27" max="27" width="15.83203125" customWidth="1"/>
    <col min="28" max="28" width="13" customWidth="1"/>
    <col min="29" max="29" width="22.83203125" customWidth="1"/>
    <col min="30" max="30" width="20.6640625" customWidth="1"/>
    <col min="31" max="31" width="18.5" customWidth="1"/>
  </cols>
  <sheetData>
    <row r="1" spans="1:3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133</v>
      </c>
      <c r="AE1" s="1" t="s">
        <v>134</v>
      </c>
    </row>
    <row r="2" spans="1:32" x14ac:dyDescent="0.2">
      <c r="A2" t="s">
        <v>29</v>
      </c>
      <c r="B2">
        <v>25.7014</v>
      </c>
      <c r="C2">
        <v>13.155900000000001</v>
      </c>
      <c r="D2">
        <v>2.8E-3</v>
      </c>
      <c r="E2" t="s">
        <v>30</v>
      </c>
      <c r="F2">
        <v>5.8000000000000003E-2</v>
      </c>
      <c r="I2">
        <v>1</v>
      </c>
      <c r="J2">
        <f>I2*0.34*F2</f>
        <v>1.9720000000000001E-2</v>
      </c>
      <c r="S2">
        <v>12</v>
      </c>
      <c r="T2">
        <f>S2*1000</f>
        <v>12000</v>
      </c>
      <c r="U2">
        <v>11.951000000000001</v>
      </c>
      <c r="V2">
        <f>U2*1000</f>
        <v>11951</v>
      </c>
      <c r="W2">
        <v>1.5</v>
      </c>
      <c r="X2">
        <v>0.82</v>
      </c>
      <c r="Y2">
        <f>X2/W2</f>
        <v>0.54666666666666663</v>
      </c>
      <c r="Z2">
        <v>2.8E-3</v>
      </c>
      <c r="AA2" t="s">
        <v>29</v>
      </c>
      <c r="AC2">
        <f>T2*3.086*10^21</f>
        <v>3.7032E+25</v>
      </c>
      <c r="AD2">
        <v>31.51</v>
      </c>
      <c r="AE2">
        <v>1.1419999999999999</v>
      </c>
    </row>
    <row r="3" spans="1:32" x14ac:dyDescent="0.2">
      <c r="A3" t="s">
        <v>31</v>
      </c>
      <c r="B3">
        <v>174.1103</v>
      </c>
      <c r="C3">
        <v>58.191400000000002</v>
      </c>
      <c r="D3">
        <v>4.1999999999999997E-3</v>
      </c>
      <c r="E3" t="s">
        <v>30</v>
      </c>
      <c r="F3">
        <v>8.6999999999999994E-2</v>
      </c>
      <c r="I3">
        <v>1</v>
      </c>
      <c r="J3">
        <f t="shared" ref="J3:J66" si="0">I3*0.34*F3</f>
        <v>2.9579999999999999E-2</v>
      </c>
      <c r="S3">
        <v>18</v>
      </c>
      <c r="T3">
        <f t="shared" ref="T3:T66" si="1">S3*1000</f>
        <v>18000</v>
      </c>
      <c r="U3">
        <v>17.895</v>
      </c>
      <c r="V3">
        <f t="shared" ref="V3:V66" si="2">U3*1000</f>
        <v>17895</v>
      </c>
      <c r="W3">
        <v>2.04</v>
      </c>
      <c r="X3">
        <v>0.54</v>
      </c>
      <c r="Y3">
        <f t="shared" ref="Y3:Y66" si="3">X3/W3</f>
        <v>0.26470588235294118</v>
      </c>
      <c r="Z3">
        <v>4.1999999999999997E-3</v>
      </c>
      <c r="AA3" t="s">
        <v>31</v>
      </c>
      <c r="AC3">
        <f t="shared" ref="AC3:AC66" si="4">T3*3.086*10^21</f>
        <v>5.5547999999999999E+25</v>
      </c>
      <c r="AD3">
        <v>35.33</v>
      </c>
      <c r="AE3">
        <v>5.5060000000000002</v>
      </c>
    </row>
    <row r="4" spans="1:32" x14ac:dyDescent="0.2">
      <c r="A4" t="s">
        <v>32</v>
      </c>
      <c r="B4">
        <v>126.5183</v>
      </c>
      <c r="C4">
        <v>45.967599999999997</v>
      </c>
      <c r="D4">
        <v>7.1000000000000004E-3</v>
      </c>
      <c r="E4" t="s">
        <v>30</v>
      </c>
      <c r="F4">
        <v>0.14599999999999999</v>
      </c>
      <c r="I4">
        <v>1</v>
      </c>
      <c r="J4">
        <f t="shared" si="0"/>
        <v>4.9640000000000004E-2</v>
      </c>
      <c r="S4">
        <v>30.6</v>
      </c>
      <c r="T4">
        <f t="shared" si="1"/>
        <v>30600</v>
      </c>
      <c r="U4">
        <v>30.145</v>
      </c>
      <c r="V4">
        <f t="shared" si="2"/>
        <v>30145</v>
      </c>
      <c r="W4">
        <v>1.3</v>
      </c>
      <c r="X4">
        <v>0.66</v>
      </c>
      <c r="Y4">
        <f t="shared" si="3"/>
        <v>0.50769230769230766</v>
      </c>
      <c r="Z4">
        <v>7.1000000000000004E-3</v>
      </c>
      <c r="AA4" t="s">
        <v>32</v>
      </c>
      <c r="AC4">
        <f t="shared" si="4"/>
        <v>9.4431599999999986E+25</v>
      </c>
      <c r="AD4">
        <v>25.49</v>
      </c>
      <c r="AE4">
        <v>2.024</v>
      </c>
    </row>
    <row r="5" spans="1:32" x14ac:dyDescent="0.2">
      <c r="A5" t="s">
        <v>33</v>
      </c>
      <c r="B5">
        <v>131.697</v>
      </c>
      <c r="C5">
        <v>13.706799999999999</v>
      </c>
      <c r="D5">
        <v>7.4000000000000003E-3</v>
      </c>
      <c r="E5" t="s">
        <v>30</v>
      </c>
      <c r="F5">
        <v>0.152</v>
      </c>
      <c r="I5">
        <v>1</v>
      </c>
      <c r="J5">
        <f t="shared" si="0"/>
        <v>5.1680000000000004E-2</v>
      </c>
      <c r="S5">
        <v>31.9</v>
      </c>
      <c r="T5">
        <f t="shared" si="1"/>
        <v>31900</v>
      </c>
      <c r="U5">
        <v>31.407</v>
      </c>
      <c r="V5">
        <f t="shared" si="2"/>
        <v>31407</v>
      </c>
      <c r="W5">
        <v>0.48</v>
      </c>
      <c r="X5">
        <v>0.39</v>
      </c>
      <c r="Y5">
        <f t="shared" si="3"/>
        <v>0.81250000000000011</v>
      </c>
      <c r="Z5">
        <v>7.4000000000000003E-3</v>
      </c>
      <c r="AA5" t="s">
        <v>33</v>
      </c>
      <c r="AC5">
        <f t="shared" si="4"/>
        <v>9.8443399999999994E+25</v>
      </c>
      <c r="AD5">
        <v>10.83</v>
      </c>
      <c r="AE5">
        <v>0.13500000000000001</v>
      </c>
    </row>
    <row r="6" spans="1:32" ht="16" x14ac:dyDescent="0.2">
      <c r="A6" t="s">
        <v>34</v>
      </c>
      <c r="B6">
        <v>177.0472</v>
      </c>
      <c r="C6">
        <v>54.991799999999998</v>
      </c>
      <c r="D6">
        <v>8.0999999999999996E-3</v>
      </c>
      <c r="E6" t="s">
        <v>30</v>
      </c>
      <c r="F6">
        <v>0.16700000000000001</v>
      </c>
      <c r="I6">
        <v>1</v>
      </c>
      <c r="J6">
        <f t="shared" si="0"/>
        <v>5.6780000000000004E-2</v>
      </c>
      <c r="S6">
        <v>34.9</v>
      </c>
      <c r="T6">
        <f t="shared" si="1"/>
        <v>34900</v>
      </c>
      <c r="U6">
        <v>34.348999999999997</v>
      </c>
      <c r="V6">
        <f t="shared" si="2"/>
        <v>34349</v>
      </c>
      <c r="W6">
        <v>1.55</v>
      </c>
      <c r="X6">
        <v>0.32</v>
      </c>
      <c r="Y6">
        <f t="shared" si="3"/>
        <v>0.20645161290322581</v>
      </c>
      <c r="Z6">
        <v>8.0999999999999996E-3</v>
      </c>
      <c r="AA6" t="s">
        <v>34</v>
      </c>
      <c r="AC6">
        <f t="shared" si="4"/>
        <v>1.0770139999999999E+26</v>
      </c>
      <c r="AD6" s="2">
        <v>8.9</v>
      </c>
      <c r="AE6" s="2">
        <v>1.2310000000000001</v>
      </c>
    </row>
    <row r="7" spans="1:32" x14ac:dyDescent="0.2">
      <c r="A7" t="s">
        <v>35</v>
      </c>
      <c r="B7">
        <v>179.8031</v>
      </c>
      <c r="C7">
        <v>30.731200000000001</v>
      </c>
      <c r="D7">
        <v>1.12E-2</v>
      </c>
      <c r="E7" t="s">
        <v>30</v>
      </c>
      <c r="F7">
        <v>0.22900000000000001</v>
      </c>
      <c r="I7">
        <v>1</v>
      </c>
      <c r="J7">
        <f t="shared" si="0"/>
        <v>7.7860000000000013E-2</v>
      </c>
      <c r="S7">
        <v>48.4</v>
      </c>
      <c r="T7">
        <f t="shared" si="1"/>
        <v>48400</v>
      </c>
      <c r="U7">
        <v>47.316000000000003</v>
      </c>
      <c r="V7">
        <f t="shared" si="2"/>
        <v>47316</v>
      </c>
      <c r="W7">
        <v>1.2</v>
      </c>
      <c r="X7">
        <v>0.46</v>
      </c>
      <c r="Y7">
        <f t="shared" si="3"/>
        <v>0.38333333333333336</v>
      </c>
      <c r="Z7">
        <v>1.12E-2</v>
      </c>
      <c r="AA7" t="s">
        <v>35</v>
      </c>
      <c r="AC7">
        <f t="shared" si="4"/>
        <v>1.493624E+26</v>
      </c>
      <c r="AD7">
        <v>27.28</v>
      </c>
      <c r="AE7">
        <v>1.7509999999999999</v>
      </c>
    </row>
    <row r="8" spans="1:32" x14ac:dyDescent="0.2">
      <c r="A8" t="s">
        <v>36</v>
      </c>
      <c r="B8">
        <v>179.14750000000001</v>
      </c>
      <c r="C8">
        <v>28.490400000000001</v>
      </c>
      <c r="D8">
        <v>1.1900000000000001E-2</v>
      </c>
      <c r="E8" t="s">
        <v>30</v>
      </c>
      <c r="F8">
        <v>0.24399999999999999</v>
      </c>
      <c r="I8">
        <v>1</v>
      </c>
      <c r="J8">
        <f t="shared" si="0"/>
        <v>8.2960000000000006E-2</v>
      </c>
      <c r="S8">
        <v>51.4</v>
      </c>
      <c r="T8">
        <f t="shared" si="1"/>
        <v>51400</v>
      </c>
      <c r="U8">
        <v>50.23</v>
      </c>
      <c r="V8">
        <f t="shared" si="2"/>
        <v>50230</v>
      </c>
      <c r="W8">
        <v>0.78</v>
      </c>
      <c r="X8">
        <v>0.39</v>
      </c>
      <c r="Y8">
        <f t="shared" si="3"/>
        <v>0.5</v>
      </c>
      <c r="Z8">
        <v>1.1900000000000001E-2</v>
      </c>
      <c r="AA8" t="s">
        <v>36</v>
      </c>
      <c r="AC8">
        <f t="shared" si="4"/>
        <v>1.5862040000000001E+26</v>
      </c>
      <c r="AD8">
        <v>16.559999999999999</v>
      </c>
      <c r="AE8">
        <v>0.79</v>
      </c>
    </row>
    <row r="9" spans="1:32" x14ac:dyDescent="0.2">
      <c r="A9" t="s">
        <v>37</v>
      </c>
      <c r="B9">
        <v>130.91980000000001</v>
      </c>
      <c r="C9">
        <v>22.094100000000001</v>
      </c>
      <c r="D9">
        <v>1.26E-2</v>
      </c>
      <c r="E9" t="s">
        <v>30</v>
      </c>
      <c r="F9">
        <v>0.25800000000000001</v>
      </c>
      <c r="I9">
        <v>1</v>
      </c>
      <c r="J9">
        <f t="shared" si="0"/>
        <v>8.7720000000000006E-2</v>
      </c>
      <c r="S9">
        <v>54.5</v>
      </c>
      <c r="T9">
        <f t="shared" si="1"/>
        <v>54500</v>
      </c>
      <c r="U9">
        <v>53.14</v>
      </c>
      <c r="V9">
        <f t="shared" si="2"/>
        <v>53140</v>
      </c>
      <c r="W9">
        <v>0.96</v>
      </c>
      <c r="X9">
        <v>0.36</v>
      </c>
      <c r="Y9">
        <f t="shared" si="3"/>
        <v>0.375</v>
      </c>
      <c r="Z9">
        <v>1.26E-2</v>
      </c>
      <c r="AA9" t="s">
        <v>37</v>
      </c>
      <c r="AC9">
        <f t="shared" si="4"/>
        <v>1.6818699999999999E+26</v>
      </c>
      <c r="AD9">
        <v>24.08</v>
      </c>
      <c r="AE9">
        <v>3.2690000000000001</v>
      </c>
    </row>
    <row r="10" spans="1:32" x14ac:dyDescent="0.2">
      <c r="A10" t="s">
        <v>38</v>
      </c>
      <c r="B10">
        <v>125.4761</v>
      </c>
      <c r="C10">
        <v>22.641300000000001</v>
      </c>
      <c r="D10">
        <v>1.2699999999999999E-2</v>
      </c>
      <c r="E10" t="s">
        <v>30</v>
      </c>
      <c r="F10">
        <v>0.26</v>
      </c>
      <c r="I10">
        <v>1</v>
      </c>
      <c r="J10">
        <f t="shared" si="0"/>
        <v>8.8400000000000006E-2</v>
      </c>
      <c r="S10">
        <v>54.9</v>
      </c>
      <c r="T10">
        <f t="shared" si="1"/>
        <v>54900</v>
      </c>
      <c r="U10">
        <v>53.555</v>
      </c>
      <c r="V10">
        <f t="shared" si="2"/>
        <v>53555</v>
      </c>
      <c r="W10">
        <v>1.1599999999999999</v>
      </c>
      <c r="X10">
        <v>0.39</v>
      </c>
      <c r="Y10">
        <f t="shared" si="3"/>
        <v>0.3362068965517242</v>
      </c>
      <c r="Z10">
        <v>1.2699999999999999E-2</v>
      </c>
      <c r="AA10" t="s">
        <v>38</v>
      </c>
      <c r="AC10">
        <f t="shared" si="4"/>
        <v>1.6942139999999998E+26</v>
      </c>
      <c r="AD10">
        <v>23.73</v>
      </c>
      <c r="AE10">
        <v>2.2189999999999999</v>
      </c>
    </row>
    <row r="11" spans="1:32" ht="17" x14ac:dyDescent="0.2">
      <c r="A11" t="s">
        <v>39</v>
      </c>
      <c r="B11">
        <v>140.77709999999999</v>
      </c>
      <c r="C11">
        <v>19.9025</v>
      </c>
      <c r="D11">
        <v>1.3899999999999999E-2</v>
      </c>
      <c r="E11" t="s">
        <v>30</v>
      </c>
      <c r="F11">
        <v>0.28399999999999997</v>
      </c>
      <c r="I11">
        <v>1</v>
      </c>
      <c r="J11">
        <f t="shared" si="0"/>
        <v>9.6559999999999993E-2</v>
      </c>
      <c r="S11">
        <v>60.2</v>
      </c>
      <c r="T11">
        <f t="shared" si="1"/>
        <v>60200</v>
      </c>
      <c r="U11">
        <v>58.53</v>
      </c>
      <c r="V11">
        <f t="shared" si="2"/>
        <v>58530</v>
      </c>
      <c r="W11">
        <v>0.42</v>
      </c>
      <c r="X11">
        <v>0.33</v>
      </c>
      <c r="Y11">
        <f t="shared" si="3"/>
        <v>0.78571428571428581</v>
      </c>
      <c r="Z11">
        <v>1.3899999999999999E-2</v>
      </c>
      <c r="AA11" t="s">
        <v>39</v>
      </c>
      <c r="AC11">
        <f t="shared" si="4"/>
        <v>1.8577719999999998E+26</v>
      </c>
      <c r="AD11" s="3">
        <v>8.36</v>
      </c>
      <c r="AE11" s="3">
        <v>0.185</v>
      </c>
    </row>
    <row r="12" spans="1:32" x14ac:dyDescent="0.2">
      <c r="A12" t="s">
        <v>40</v>
      </c>
      <c r="B12">
        <v>235.02809999999999</v>
      </c>
      <c r="C12">
        <v>51.113700000000001</v>
      </c>
      <c r="D12">
        <v>1.9300000000000001E-2</v>
      </c>
      <c r="E12" t="s">
        <v>30</v>
      </c>
      <c r="F12">
        <v>0.39100000000000001</v>
      </c>
      <c r="I12">
        <v>1</v>
      </c>
      <c r="J12">
        <f t="shared" si="0"/>
        <v>0.13294</v>
      </c>
      <c r="S12">
        <v>83.9</v>
      </c>
      <c r="T12">
        <f t="shared" si="1"/>
        <v>83900</v>
      </c>
      <c r="U12">
        <v>80.738</v>
      </c>
      <c r="V12">
        <f t="shared" si="2"/>
        <v>80738</v>
      </c>
      <c r="W12">
        <v>1.1499999999999999</v>
      </c>
      <c r="X12">
        <v>0.22</v>
      </c>
      <c r="Y12">
        <f t="shared" si="3"/>
        <v>0.19130434782608696</v>
      </c>
      <c r="Z12">
        <v>1.9300000000000001E-2</v>
      </c>
      <c r="AA12" t="s">
        <v>40</v>
      </c>
      <c r="AC12">
        <f t="shared" si="4"/>
        <v>2.5891539999999998E+26</v>
      </c>
      <c r="AD12">
        <v>17.079999999999998</v>
      </c>
      <c r="AE12">
        <v>2.427</v>
      </c>
    </row>
    <row r="13" spans="1:32" x14ac:dyDescent="0.2">
      <c r="A13" t="s">
        <v>41</v>
      </c>
      <c r="B13">
        <v>144.88939999999999</v>
      </c>
      <c r="C13">
        <v>11.510199999999999</v>
      </c>
      <c r="D13">
        <v>1.9699999999999999E-2</v>
      </c>
      <c r="E13" t="s">
        <v>30</v>
      </c>
      <c r="F13">
        <v>0.39900000000000002</v>
      </c>
      <c r="I13">
        <v>1</v>
      </c>
      <c r="J13">
        <f t="shared" si="0"/>
        <v>0.13566000000000003</v>
      </c>
      <c r="S13">
        <v>85.6</v>
      </c>
      <c r="T13">
        <f t="shared" si="1"/>
        <v>85600</v>
      </c>
      <c r="U13">
        <v>82.372</v>
      </c>
      <c r="V13">
        <f t="shared" si="2"/>
        <v>82372</v>
      </c>
      <c r="W13">
        <v>1.1200000000000001</v>
      </c>
      <c r="X13">
        <v>0.32</v>
      </c>
      <c r="Y13">
        <f t="shared" si="3"/>
        <v>0.2857142857142857</v>
      </c>
      <c r="Z13">
        <v>1.9699999999999999E-2</v>
      </c>
      <c r="AA13" t="s">
        <v>41</v>
      </c>
      <c r="AC13">
        <f t="shared" si="4"/>
        <v>2.6416159999999997E+26</v>
      </c>
      <c r="AD13">
        <v>43.78</v>
      </c>
      <c r="AE13">
        <v>20</v>
      </c>
      <c r="AF13" t="s">
        <v>144</v>
      </c>
    </row>
    <row r="14" spans="1:32" x14ac:dyDescent="0.2">
      <c r="A14" t="s">
        <v>42</v>
      </c>
      <c r="B14">
        <v>123.2653</v>
      </c>
      <c r="C14">
        <v>24.567</v>
      </c>
      <c r="D14">
        <v>2.0400000000000001E-2</v>
      </c>
      <c r="E14" t="s">
        <v>30</v>
      </c>
      <c r="F14">
        <v>0.41299999999999998</v>
      </c>
      <c r="I14">
        <v>1</v>
      </c>
      <c r="J14">
        <f t="shared" si="0"/>
        <v>0.14041999999999999</v>
      </c>
      <c r="S14">
        <v>88.7</v>
      </c>
      <c r="T14">
        <f t="shared" si="1"/>
        <v>88700</v>
      </c>
      <c r="U14">
        <v>85.227000000000004</v>
      </c>
      <c r="V14">
        <f t="shared" si="2"/>
        <v>85227</v>
      </c>
      <c r="W14">
        <v>0.78</v>
      </c>
      <c r="X14">
        <v>0.17</v>
      </c>
      <c r="Y14">
        <f t="shared" si="3"/>
        <v>0.21794871794871795</v>
      </c>
      <c r="Z14">
        <v>2.0400000000000001E-2</v>
      </c>
      <c r="AA14" t="s">
        <v>42</v>
      </c>
      <c r="AC14">
        <f>T14*3.086*10^21</f>
        <v>2.7372820000000001E+26</v>
      </c>
      <c r="AD14">
        <v>11.49</v>
      </c>
      <c r="AE14">
        <v>9.0869999999999997</v>
      </c>
    </row>
    <row r="15" spans="1:32" x14ac:dyDescent="0.2">
      <c r="A15" t="s">
        <v>43</v>
      </c>
      <c r="B15">
        <v>147.9282</v>
      </c>
      <c r="C15">
        <v>22.931899999999999</v>
      </c>
      <c r="D15">
        <v>2.1100000000000001E-2</v>
      </c>
      <c r="E15" t="s">
        <v>30</v>
      </c>
      <c r="F15">
        <v>0.42699999999999999</v>
      </c>
      <c r="I15">
        <v>1</v>
      </c>
      <c r="J15">
        <f t="shared" si="0"/>
        <v>0.14518</v>
      </c>
      <c r="S15">
        <v>91.8</v>
      </c>
      <c r="T15">
        <f t="shared" si="1"/>
        <v>91800</v>
      </c>
      <c r="U15">
        <v>88.076999999999998</v>
      </c>
      <c r="V15">
        <f t="shared" si="2"/>
        <v>88077</v>
      </c>
      <c r="W15">
        <v>0.54</v>
      </c>
      <c r="X15">
        <v>0.13</v>
      </c>
      <c r="Y15">
        <f t="shared" si="3"/>
        <v>0.24074074074074073</v>
      </c>
      <c r="Z15">
        <v>2.1100000000000001E-2</v>
      </c>
      <c r="AA15" t="s">
        <v>43</v>
      </c>
      <c r="AC15">
        <f t="shared" si="4"/>
        <v>2.8329479999999999E+26</v>
      </c>
      <c r="AD15">
        <v>6.92</v>
      </c>
      <c r="AE15">
        <v>1.038</v>
      </c>
    </row>
    <row r="16" spans="1:32" x14ac:dyDescent="0.2">
      <c r="A16" t="s">
        <v>44</v>
      </c>
      <c r="B16">
        <v>50.145099999999999</v>
      </c>
      <c r="C16">
        <v>-1.0959000000000001</v>
      </c>
      <c r="D16">
        <v>2.1299999999999999E-2</v>
      </c>
      <c r="E16" t="s">
        <v>30</v>
      </c>
      <c r="F16">
        <v>0.43099999999999999</v>
      </c>
      <c r="I16">
        <v>1</v>
      </c>
      <c r="J16">
        <f t="shared" si="0"/>
        <v>0.14654</v>
      </c>
      <c r="S16">
        <v>92.7</v>
      </c>
      <c r="T16">
        <f t="shared" si="1"/>
        <v>92700</v>
      </c>
      <c r="U16">
        <v>88.89</v>
      </c>
      <c r="V16">
        <f t="shared" si="2"/>
        <v>88890</v>
      </c>
      <c r="W16">
        <v>0.27</v>
      </c>
      <c r="X16">
        <v>0.22</v>
      </c>
      <c r="Y16">
        <f t="shared" si="3"/>
        <v>0.81481481481481477</v>
      </c>
      <c r="Z16">
        <v>2.1299999999999999E-2</v>
      </c>
      <c r="AA16" t="s">
        <v>44</v>
      </c>
      <c r="AC16">
        <f t="shared" si="4"/>
        <v>2.8607220000000002E+26</v>
      </c>
      <c r="AD16">
        <v>10.39</v>
      </c>
      <c r="AE16">
        <v>0.33200000000000002</v>
      </c>
    </row>
    <row r="17" spans="1:31" x14ac:dyDescent="0.2">
      <c r="A17" t="s">
        <v>45</v>
      </c>
      <c r="B17">
        <v>119.95189999999999</v>
      </c>
      <c r="C17">
        <v>55.280099999999997</v>
      </c>
      <c r="D17">
        <v>2.1600000000000001E-2</v>
      </c>
      <c r="E17" t="s">
        <v>30</v>
      </c>
      <c r="F17">
        <v>0.437</v>
      </c>
      <c r="I17">
        <v>1</v>
      </c>
      <c r="J17">
        <f t="shared" si="0"/>
        <v>0.14858000000000002</v>
      </c>
      <c r="S17">
        <v>94</v>
      </c>
      <c r="T17">
        <f t="shared" si="1"/>
        <v>94000</v>
      </c>
      <c r="U17">
        <v>90.108999999999995</v>
      </c>
      <c r="V17">
        <f t="shared" si="2"/>
        <v>90109</v>
      </c>
      <c r="W17">
        <v>0.52</v>
      </c>
      <c r="X17">
        <v>0.28999999999999998</v>
      </c>
      <c r="Y17">
        <f t="shared" si="3"/>
        <v>0.5576923076923076</v>
      </c>
      <c r="Z17">
        <v>2.1600000000000001E-2</v>
      </c>
      <c r="AA17" t="s">
        <v>45</v>
      </c>
      <c r="AC17">
        <f t="shared" si="4"/>
        <v>2.9008400000000001E+26</v>
      </c>
      <c r="AD17">
        <v>1.1599999999999999</v>
      </c>
      <c r="AE17">
        <v>6</v>
      </c>
    </row>
    <row r="18" spans="1:31" x14ac:dyDescent="0.2">
      <c r="A18" t="s">
        <v>46</v>
      </c>
      <c r="B18">
        <v>49.2288</v>
      </c>
      <c r="C18">
        <v>-4.2000000000000003E-2</v>
      </c>
      <c r="D18">
        <v>2.3199999999999998E-2</v>
      </c>
      <c r="E18" t="s">
        <v>30</v>
      </c>
      <c r="F18">
        <v>0.46800000000000003</v>
      </c>
      <c r="I18">
        <v>1</v>
      </c>
      <c r="J18">
        <f t="shared" si="0"/>
        <v>0.15912000000000001</v>
      </c>
      <c r="S18">
        <v>101.1</v>
      </c>
      <c r="T18">
        <f t="shared" si="1"/>
        <v>101100</v>
      </c>
      <c r="U18">
        <v>96.596999999999994</v>
      </c>
      <c r="V18">
        <f t="shared" si="2"/>
        <v>96597</v>
      </c>
      <c r="W18">
        <v>0.6</v>
      </c>
      <c r="X18">
        <v>0.36</v>
      </c>
      <c r="Y18">
        <f t="shared" si="3"/>
        <v>0.6</v>
      </c>
      <c r="Z18">
        <v>2.3199999999999998E-2</v>
      </c>
      <c r="AA18" t="s">
        <v>46</v>
      </c>
      <c r="AC18">
        <f t="shared" si="4"/>
        <v>3.1199459999999996E+26</v>
      </c>
      <c r="AD18">
        <v>9.6999999999999993</v>
      </c>
      <c r="AE18">
        <v>0.58299999999999996</v>
      </c>
    </row>
    <row r="19" spans="1:31" x14ac:dyDescent="0.2">
      <c r="A19" t="s">
        <v>47</v>
      </c>
      <c r="B19">
        <v>203.5617</v>
      </c>
      <c r="C19">
        <v>34.194200000000002</v>
      </c>
      <c r="D19">
        <v>2.3599999999999999E-2</v>
      </c>
      <c r="E19" t="s">
        <v>30</v>
      </c>
      <c r="F19">
        <v>0.47599999999999998</v>
      </c>
      <c r="I19">
        <v>1</v>
      </c>
      <c r="J19">
        <f t="shared" si="0"/>
        <v>0.16184000000000001</v>
      </c>
      <c r="S19">
        <v>102.9</v>
      </c>
      <c r="T19">
        <f t="shared" si="1"/>
        <v>102900</v>
      </c>
      <c r="U19">
        <v>98.215999999999994</v>
      </c>
      <c r="V19">
        <f t="shared" si="2"/>
        <v>98216</v>
      </c>
      <c r="W19">
        <v>0.85</v>
      </c>
      <c r="X19">
        <v>0.22</v>
      </c>
      <c r="Y19">
        <f t="shared" si="3"/>
        <v>0.25882352941176473</v>
      </c>
      <c r="Z19">
        <v>2.3599999999999999E-2</v>
      </c>
      <c r="AA19" t="s">
        <v>47</v>
      </c>
      <c r="AC19">
        <f t="shared" si="4"/>
        <v>3.1754939999999995E+26</v>
      </c>
      <c r="AD19">
        <v>13.06</v>
      </c>
      <c r="AE19">
        <v>2.1779999999999999</v>
      </c>
    </row>
    <row r="20" spans="1:31" x14ac:dyDescent="0.2">
      <c r="A20" t="s">
        <v>48</v>
      </c>
      <c r="B20">
        <v>209.68620000000001</v>
      </c>
      <c r="C20">
        <v>2.4567999999999999</v>
      </c>
      <c r="D20">
        <v>2.41E-2</v>
      </c>
      <c r="E20" t="s">
        <v>30</v>
      </c>
      <c r="F20">
        <v>0.48599999999999999</v>
      </c>
      <c r="I20">
        <v>1</v>
      </c>
      <c r="J20">
        <f t="shared" si="0"/>
        <v>0.16524</v>
      </c>
      <c r="S20">
        <v>105.1</v>
      </c>
      <c r="T20">
        <f t="shared" si="1"/>
        <v>105100</v>
      </c>
      <c r="U20">
        <v>100.2</v>
      </c>
      <c r="V20">
        <f t="shared" si="2"/>
        <v>100200</v>
      </c>
      <c r="W20">
        <v>1.52</v>
      </c>
      <c r="X20">
        <v>0.22</v>
      </c>
      <c r="Y20">
        <f t="shared" si="3"/>
        <v>0.14473684210526316</v>
      </c>
      <c r="Z20">
        <v>2.41E-2</v>
      </c>
      <c r="AA20" t="s">
        <v>48</v>
      </c>
      <c r="AC20">
        <f t="shared" si="4"/>
        <v>3.243386E+26</v>
      </c>
      <c r="AD20">
        <v>21.59</v>
      </c>
      <c r="AE20">
        <v>4.6040000000000001</v>
      </c>
    </row>
    <row r="21" spans="1:31" x14ac:dyDescent="0.2">
      <c r="A21" t="s">
        <v>49</v>
      </c>
      <c r="B21">
        <v>126.145</v>
      </c>
      <c r="C21">
        <v>18.393999999999998</v>
      </c>
      <c r="D21">
        <v>2.58E-2</v>
      </c>
      <c r="E21" t="s">
        <v>30</v>
      </c>
      <c r="F21">
        <v>0.51900000000000002</v>
      </c>
      <c r="I21">
        <v>1</v>
      </c>
      <c r="J21">
        <f t="shared" si="0"/>
        <v>0.17646000000000001</v>
      </c>
      <c r="S21">
        <v>112.7</v>
      </c>
      <c r="T21">
        <f t="shared" si="1"/>
        <v>112700</v>
      </c>
      <c r="U21">
        <v>107.1</v>
      </c>
      <c r="V21">
        <f t="shared" si="2"/>
        <v>107100</v>
      </c>
      <c r="W21">
        <v>0.33</v>
      </c>
      <c r="X21">
        <v>0.13</v>
      </c>
      <c r="Y21">
        <f t="shared" si="3"/>
        <v>0.39393939393939392</v>
      </c>
      <c r="Z21">
        <v>2.58E-2</v>
      </c>
      <c r="AA21" t="s">
        <v>49</v>
      </c>
      <c r="AC21">
        <f t="shared" si="4"/>
        <v>3.4779220000000001E+26</v>
      </c>
      <c r="AD21">
        <v>7.08</v>
      </c>
      <c r="AE21">
        <v>0.623</v>
      </c>
    </row>
    <row r="22" spans="1:31" x14ac:dyDescent="0.2">
      <c r="A22" t="s">
        <v>50</v>
      </c>
      <c r="B22">
        <v>151.7989</v>
      </c>
      <c r="C22">
        <v>32.674599999999998</v>
      </c>
      <c r="D22">
        <v>2.87E-2</v>
      </c>
      <c r="E22" t="s">
        <v>30</v>
      </c>
      <c r="F22">
        <v>0.57599999999999996</v>
      </c>
      <c r="I22">
        <v>1</v>
      </c>
      <c r="J22">
        <f t="shared" si="0"/>
        <v>0.19583999999999999</v>
      </c>
      <c r="S22">
        <v>125.6</v>
      </c>
      <c r="T22">
        <f t="shared" si="1"/>
        <v>125600</v>
      </c>
      <c r="U22">
        <v>118.7</v>
      </c>
      <c r="V22">
        <f t="shared" si="2"/>
        <v>118700</v>
      </c>
      <c r="W22">
        <v>0.45</v>
      </c>
      <c r="X22">
        <v>0.17</v>
      </c>
      <c r="Y22">
        <f t="shared" si="3"/>
        <v>0.37777777777777777</v>
      </c>
      <c r="Z22">
        <v>2.87E-2</v>
      </c>
      <c r="AA22" t="s">
        <v>50</v>
      </c>
      <c r="AC22">
        <f t="shared" si="4"/>
        <v>3.8760159999999999E+26</v>
      </c>
      <c r="AD22">
        <v>9.11</v>
      </c>
      <c r="AE22">
        <v>0.749</v>
      </c>
    </row>
    <row r="23" spans="1:31" x14ac:dyDescent="0.2">
      <c r="A23" t="s">
        <v>51</v>
      </c>
      <c r="B23">
        <v>263.01240000000001</v>
      </c>
      <c r="C23">
        <v>59.981900000000003</v>
      </c>
      <c r="D23">
        <v>2.93E-2</v>
      </c>
      <c r="E23" t="s">
        <v>30</v>
      </c>
      <c r="F23">
        <v>0.58699999999999997</v>
      </c>
      <c r="I23">
        <v>1</v>
      </c>
      <c r="J23">
        <f t="shared" si="0"/>
        <v>0.19958000000000001</v>
      </c>
      <c r="S23">
        <v>128.30000000000001</v>
      </c>
      <c r="T23">
        <f t="shared" si="1"/>
        <v>128300.00000000001</v>
      </c>
      <c r="U23">
        <v>121.1</v>
      </c>
      <c r="V23">
        <f t="shared" si="2"/>
        <v>121100</v>
      </c>
      <c r="W23">
        <v>0.64</v>
      </c>
      <c r="X23">
        <v>0.16</v>
      </c>
      <c r="Y23">
        <f t="shared" si="3"/>
        <v>0.25</v>
      </c>
      <c r="Z23">
        <v>2.93E-2</v>
      </c>
      <c r="AA23" t="s">
        <v>51</v>
      </c>
      <c r="AC23">
        <f t="shared" si="4"/>
        <v>3.9593380000000004E+26</v>
      </c>
      <c r="AD23">
        <v>20.83</v>
      </c>
      <c r="AE23">
        <v>2.391</v>
      </c>
    </row>
    <row r="24" spans="1:31" x14ac:dyDescent="0.2">
      <c r="A24" t="s">
        <v>52</v>
      </c>
      <c r="B24">
        <v>259.53269999999998</v>
      </c>
      <c r="C24">
        <v>30.129000000000001</v>
      </c>
      <c r="D24">
        <v>2.9700000000000001E-2</v>
      </c>
      <c r="E24" t="s">
        <v>30</v>
      </c>
      <c r="F24">
        <v>0.59499999999999997</v>
      </c>
      <c r="I24">
        <v>1</v>
      </c>
      <c r="J24">
        <f t="shared" si="0"/>
        <v>0.20230000000000001</v>
      </c>
      <c r="S24">
        <v>130.1</v>
      </c>
      <c r="T24">
        <f t="shared" si="1"/>
        <v>130100</v>
      </c>
      <c r="U24">
        <v>122.7</v>
      </c>
      <c r="V24">
        <f t="shared" si="2"/>
        <v>122700</v>
      </c>
      <c r="W24">
        <v>0.34</v>
      </c>
      <c r="X24">
        <v>0.24</v>
      </c>
      <c r="Y24">
        <f t="shared" si="3"/>
        <v>0.70588235294117641</v>
      </c>
      <c r="Z24">
        <v>2.9700000000000001E-2</v>
      </c>
      <c r="AA24" t="s">
        <v>52</v>
      </c>
      <c r="AC24">
        <f t="shared" si="4"/>
        <v>4.0148859999999996E+26</v>
      </c>
      <c r="AD24">
        <v>4.87</v>
      </c>
      <c r="AE24">
        <v>0.17899999999999999</v>
      </c>
    </row>
    <row r="25" spans="1:31" x14ac:dyDescent="0.2">
      <c r="A25" t="s">
        <v>53</v>
      </c>
      <c r="B25">
        <v>196.91489999999999</v>
      </c>
      <c r="C25">
        <v>53.840200000000003</v>
      </c>
      <c r="D25">
        <v>0.03</v>
      </c>
      <c r="E25" t="s">
        <v>30</v>
      </c>
      <c r="F25">
        <v>0.60099999999999998</v>
      </c>
      <c r="I25">
        <v>1</v>
      </c>
      <c r="J25">
        <f t="shared" si="0"/>
        <v>0.20433999999999999</v>
      </c>
      <c r="S25">
        <v>131.4</v>
      </c>
      <c r="T25">
        <f t="shared" si="1"/>
        <v>131400</v>
      </c>
      <c r="U25">
        <v>123.9</v>
      </c>
      <c r="V25">
        <f t="shared" si="2"/>
        <v>123900</v>
      </c>
      <c r="W25">
        <v>0.56000000000000005</v>
      </c>
      <c r="X25">
        <v>0.22</v>
      </c>
      <c r="Y25">
        <f t="shared" si="3"/>
        <v>0.39285714285714285</v>
      </c>
      <c r="Z25">
        <v>0.03</v>
      </c>
      <c r="AA25" t="s">
        <v>53</v>
      </c>
      <c r="AC25">
        <f t="shared" si="4"/>
        <v>4.0550039999999995E+26</v>
      </c>
      <c r="AD25">
        <v>9.51</v>
      </c>
      <c r="AE25">
        <v>1.0720000000000001</v>
      </c>
    </row>
    <row r="26" spans="1:31" x14ac:dyDescent="0.2">
      <c r="A26" t="s">
        <v>54</v>
      </c>
      <c r="B26">
        <v>322.3374</v>
      </c>
      <c r="C26">
        <v>-0.17399999999999999</v>
      </c>
      <c r="D26">
        <v>0.03</v>
      </c>
      <c r="E26" t="s">
        <v>30</v>
      </c>
      <c r="F26">
        <v>0.60099999999999998</v>
      </c>
      <c r="I26">
        <v>1</v>
      </c>
      <c r="J26">
        <f t="shared" si="0"/>
        <v>0.20433999999999999</v>
      </c>
      <c r="S26">
        <v>131.4</v>
      </c>
      <c r="T26">
        <f t="shared" si="1"/>
        <v>131400</v>
      </c>
      <c r="U26">
        <v>123.9</v>
      </c>
      <c r="V26">
        <f t="shared" si="2"/>
        <v>123900</v>
      </c>
      <c r="W26">
        <v>0.51</v>
      </c>
      <c r="X26">
        <v>0.23</v>
      </c>
      <c r="Y26">
        <f t="shared" si="3"/>
        <v>0.45098039215686275</v>
      </c>
      <c r="Z26">
        <v>0.03</v>
      </c>
      <c r="AA26" t="s">
        <v>54</v>
      </c>
      <c r="AC26">
        <f t="shared" si="4"/>
        <v>4.0550039999999995E+26</v>
      </c>
      <c r="AD26">
        <v>10.66</v>
      </c>
      <c r="AE26">
        <v>0.94299999999999995</v>
      </c>
    </row>
    <row r="27" spans="1:31" x14ac:dyDescent="0.2">
      <c r="A27" t="s">
        <v>55</v>
      </c>
      <c r="B27">
        <v>31.615300000000001</v>
      </c>
      <c r="C27">
        <v>13.6646</v>
      </c>
      <c r="D27">
        <v>3.0200000000000001E-2</v>
      </c>
      <c r="E27" t="s">
        <v>30</v>
      </c>
      <c r="F27">
        <v>0.60499999999999998</v>
      </c>
      <c r="I27">
        <v>1</v>
      </c>
      <c r="J27">
        <f t="shared" si="0"/>
        <v>0.20570000000000002</v>
      </c>
      <c r="S27">
        <v>132.30000000000001</v>
      </c>
      <c r="T27">
        <f t="shared" si="1"/>
        <v>132300</v>
      </c>
      <c r="U27">
        <v>124.7</v>
      </c>
      <c r="V27">
        <f t="shared" si="2"/>
        <v>124700</v>
      </c>
      <c r="W27">
        <v>1.1000000000000001</v>
      </c>
      <c r="X27">
        <v>0.15</v>
      </c>
      <c r="Y27">
        <f t="shared" si="3"/>
        <v>0.13636363636363635</v>
      </c>
      <c r="Z27">
        <v>3.0200000000000001E-2</v>
      </c>
      <c r="AA27" t="s">
        <v>55</v>
      </c>
      <c r="AC27">
        <f t="shared" si="4"/>
        <v>4.0827780000000001E+26</v>
      </c>
      <c r="AD27">
        <v>18.55</v>
      </c>
      <c r="AE27">
        <v>3.5739999999999998</v>
      </c>
    </row>
    <row r="28" spans="1:31" x14ac:dyDescent="0.2">
      <c r="A28" t="s">
        <v>56</v>
      </c>
      <c r="B28">
        <v>235.7542</v>
      </c>
      <c r="C28">
        <v>16.987400000000001</v>
      </c>
      <c r="D28">
        <v>3.1399999999999997E-2</v>
      </c>
      <c r="E28" t="s">
        <v>30</v>
      </c>
      <c r="F28">
        <v>0.628</v>
      </c>
      <c r="I28">
        <v>1</v>
      </c>
      <c r="J28">
        <f t="shared" si="0"/>
        <v>0.21352000000000002</v>
      </c>
      <c r="S28">
        <v>137.69999999999999</v>
      </c>
      <c r="T28">
        <f t="shared" si="1"/>
        <v>137700</v>
      </c>
      <c r="U28">
        <v>129.5</v>
      </c>
      <c r="V28">
        <f t="shared" si="2"/>
        <v>129500</v>
      </c>
      <c r="W28">
        <v>0.46</v>
      </c>
      <c r="X28">
        <v>0.2</v>
      </c>
      <c r="Y28">
        <f t="shared" si="3"/>
        <v>0.43478260869565216</v>
      </c>
      <c r="Z28">
        <v>3.1399999999999997E-2</v>
      </c>
      <c r="AA28" t="s">
        <v>56</v>
      </c>
      <c r="AC28">
        <f t="shared" si="4"/>
        <v>4.2494219999999997E+26</v>
      </c>
      <c r="AD28">
        <v>7.85</v>
      </c>
      <c r="AE28">
        <v>0.92600000000000005</v>
      </c>
    </row>
    <row r="29" spans="1:31" x14ac:dyDescent="0.2">
      <c r="A29" t="s">
        <v>57</v>
      </c>
      <c r="B29">
        <v>255.76589999999999</v>
      </c>
      <c r="C29">
        <v>25.529699999999998</v>
      </c>
      <c r="D29">
        <v>3.1800000000000002E-2</v>
      </c>
      <c r="E29" t="s">
        <v>30</v>
      </c>
      <c r="F29">
        <v>0.63500000000000001</v>
      </c>
      <c r="I29">
        <v>1</v>
      </c>
      <c r="J29">
        <f t="shared" si="0"/>
        <v>0.21590000000000001</v>
      </c>
      <c r="S29">
        <v>139.5</v>
      </c>
      <c r="T29">
        <f t="shared" si="1"/>
        <v>139500</v>
      </c>
      <c r="U29">
        <v>131</v>
      </c>
      <c r="V29">
        <f t="shared" si="2"/>
        <v>131000</v>
      </c>
      <c r="W29">
        <v>0.28000000000000003</v>
      </c>
      <c r="X29">
        <v>0.2</v>
      </c>
      <c r="Y29">
        <f t="shared" si="3"/>
        <v>0.7142857142857143</v>
      </c>
      <c r="Z29">
        <v>3.1800000000000002E-2</v>
      </c>
      <c r="AA29" t="s">
        <v>57</v>
      </c>
      <c r="AC29">
        <f t="shared" si="4"/>
        <v>4.3049700000000003E+26</v>
      </c>
      <c r="AD29">
        <v>3.83</v>
      </c>
      <c r="AE29">
        <v>0.16400000000000001</v>
      </c>
    </row>
    <row r="30" spans="1:31" x14ac:dyDescent="0.2">
      <c r="A30" t="s">
        <v>58</v>
      </c>
      <c r="B30">
        <v>23.8565</v>
      </c>
      <c r="C30">
        <v>13.883100000000001</v>
      </c>
      <c r="D30">
        <v>3.4299999999999997E-2</v>
      </c>
      <c r="E30" t="s">
        <v>30</v>
      </c>
      <c r="F30">
        <v>0.68300000000000005</v>
      </c>
      <c r="I30">
        <v>1</v>
      </c>
      <c r="J30">
        <f t="shared" si="0"/>
        <v>0.23222000000000004</v>
      </c>
      <c r="S30">
        <v>150.80000000000001</v>
      </c>
      <c r="T30">
        <f t="shared" si="1"/>
        <v>150800</v>
      </c>
      <c r="U30">
        <v>140.9</v>
      </c>
      <c r="V30">
        <f t="shared" si="2"/>
        <v>140900</v>
      </c>
      <c r="W30">
        <v>0.38</v>
      </c>
      <c r="X30">
        <v>0.15</v>
      </c>
      <c r="Y30">
        <f t="shared" si="3"/>
        <v>0.39473684210526316</v>
      </c>
      <c r="Z30">
        <v>3.4299999999999997E-2</v>
      </c>
      <c r="AA30" t="s">
        <v>58</v>
      </c>
      <c r="AC30">
        <f t="shared" si="4"/>
        <v>4.6536880000000001E+26</v>
      </c>
      <c r="AD30">
        <v>6.95</v>
      </c>
      <c r="AE30">
        <v>0.72399999999999998</v>
      </c>
    </row>
    <row r="31" spans="1:31" x14ac:dyDescent="0.2">
      <c r="A31" t="s">
        <v>59</v>
      </c>
      <c r="B31">
        <v>200.74950000000001</v>
      </c>
      <c r="C31">
        <v>27.116399999999999</v>
      </c>
      <c r="D31">
        <v>3.4500000000000003E-2</v>
      </c>
      <c r="E31" t="s">
        <v>30</v>
      </c>
      <c r="F31">
        <v>0.68700000000000006</v>
      </c>
      <c r="I31">
        <v>1</v>
      </c>
      <c r="J31">
        <f t="shared" si="0"/>
        <v>0.23358000000000004</v>
      </c>
      <c r="S31">
        <v>151.69999999999999</v>
      </c>
      <c r="T31">
        <f t="shared" si="1"/>
        <v>151700</v>
      </c>
      <c r="U31">
        <v>141.69999999999999</v>
      </c>
      <c r="V31">
        <f t="shared" si="2"/>
        <v>141700</v>
      </c>
      <c r="W31">
        <v>0.74</v>
      </c>
      <c r="X31">
        <v>0.65</v>
      </c>
      <c r="Y31">
        <f t="shared" si="3"/>
        <v>0.8783783783783784</v>
      </c>
      <c r="Z31">
        <v>3.4500000000000003E-2</v>
      </c>
      <c r="AA31" t="s">
        <v>59</v>
      </c>
      <c r="AC31">
        <f t="shared" si="4"/>
        <v>4.6814619999999994E+26</v>
      </c>
      <c r="AD31">
        <v>16.27</v>
      </c>
      <c r="AE31">
        <v>0.215</v>
      </c>
    </row>
    <row r="32" spans="1:31" x14ac:dyDescent="0.2">
      <c r="A32" t="s">
        <v>60</v>
      </c>
      <c r="B32">
        <v>219.82599999999999</v>
      </c>
      <c r="C32">
        <v>53.0593</v>
      </c>
      <c r="D32">
        <v>3.7199999999999997E-2</v>
      </c>
      <c r="E32" t="s">
        <v>30</v>
      </c>
      <c r="F32">
        <v>0.73799999999999999</v>
      </c>
      <c r="I32">
        <v>1</v>
      </c>
      <c r="J32">
        <f t="shared" si="0"/>
        <v>0.25092000000000003</v>
      </c>
      <c r="S32">
        <v>163.9</v>
      </c>
      <c r="T32">
        <f t="shared" si="1"/>
        <v>163900</v>
      </c>
      <c r="U32">
        <v>152.30000000000001</v>
      </c>
      <c r="V32">
        <f t="shared" si="2"/>
        <v>152300</v>
      </c>
      <c r="W32">
        <v>0.55000000000000004</v>
      </c>
      <c r="X32">
        <v>0.14000000000000001</v>
      </c>
      <c r="Y32">
        <f t="shared" si="3"/>
        <v>0.25454545454545457</v>
      </c>
      <c r="Z32">
        <v>3.7199999999999997E-2</v>
      </c>
      <c r="AA32" t="s">
        <v>60</v>
      </c>
      <c r="AC32">
        <f t="shared" si="4"/>
        <v>5.0579539999999999E+26</v>
      </c>
      <c r="AD32">
        <v>8.35</v>
      </c>
      <c r="AE32">
        <v>0.91800000000000004</v>
      </c>
    </row>
    <row r="33" spans="1:32" x14ac:dyDescent="0.2">
      <c r="A33" t="s">
        <v>61</v>
      </c>
      <c r="B33">
        <v>123.3223</v>
      </c>
      <c r="C33">
        <v>20.965900000000001</v>
      </c>
      <c r="D33">
        <v>3.7699999999999997E-2</v>
      </c>
      <c r="E33" t="s">
        <v>30</v>
      </c>
      <c r="F33">
        <v>0.748</v>
      </c>
      <c r="I33">
        <v>1</v>
      </c>
      <c r="J33">
        <f t="shared" si="0"/>
        <v>0.25431999999999999</v>
      </c>
      <c r="S33">
        <v>166.1</v>
      </c>
      <c r="T33">
        <f t="shared" si="1"/>
        <v>166100</v>
      </c>
      <c r="U33">
        <v>154.30000000000001</v>
      </c>
      <c r="V33">
        <f t="shared" si="2"/>
        <v>154300</v>
      </c>
      <c r="W33">
        <v>0.95</v>
      </c>
      <c r="X33">
        <v>0.16</v>
      </c>
      <c r="Y33">
        <f t="shared" si="3"/>
        <v>0.16842105263157897</v>
      </c>
      <c r="Z33">
        <v>3.7699999999999997E-2</v>
      </c>
      <c r="AA33" t="s">
        <v>61</v>
      </c>
      <c r="AC33">
        <f t="shared" si="4"/>
        <v>5.1258459999999997E+26</v>
      </c>
      <c r="AD33">
        <v>16.059999999999999</v>
      </c>
      <c r="AE33">
        <v>2.3319999999999999</v>
      </c>
    </row>
    <row r="34" spans="1:32" x14ac:dyDescent="0.2">
      <c r="A34" t="s">
        <v>62</v>
      </c>
      <c r="B34">
        <v>50.1402</v>
      </c>
      <c r="C34">
        <v>-0.3392</v>
      </c>
      <c r="D34">
        <v>3.7900000000000003E-2</v>
      </c>
      <c r="E34" t="s">
        <v>30</v>
      </c>
      <c r="F34">
        <v>0.752</v>
      </c>
      <c r="I34">
        <v>1</v>
      </c>
      <c r="J34">
        <f t="shared" si="0"/>
        <v>0.25568000000000002</v>
      </c>
      <c r="S34">
        <v>167</v>
      </c>
      <c r="T34">
        <f t="shared" si="1"/>
        <v>167000</v>
      </c>
      <c r="U34">
        <v>155</v>
      </c>
      <c r="V34">
        <f t="shared" si="2"/>
        <v>155000</v>
      </c>
      <c r="W34">
        <v>7.0000000000000007E-2</v>
      </c>
      <c r="X34">
        <v>0.06</v>
      </c>
      <c r="Y34">
        <f t="shared" si="3"/>
        <v>0.85714285714285698</v>
      </c>
      <c r="Z34">
        <v>3.7900000000000003E-2</v>
      </c>
      <c r="AA34" t="s">
        <v>62</v>
      </c>
      <c r="AC34">
        <f t="shared" si="4"/>
        <v>5.1536199999999997E+26</v>
      </c>
      <c r="AD34">
        <v>1.17</v>
      </c>
      <c r="AE34">
        <v>1.6E-2</v>
      </c>
    </row>
    <row r="35" spans="1:32" x14ac:dyDescent="0.2">
      <c r="A35" t="s">
        <v>63</v>
      </c>
      <c r="B35">
        <v>123.8574</v>
      </c>
      <c r="C35">
        <v>37.340499999999999</v>
      </c>
      <c r="D35">
        <v>3.9699999999999999E-2</v>
      </c>
      <c r="E35" t="s">
        <v>30</v>
      </c>
      <c r="F35">
        <v>0.78600000000000003</v>
      </c>
      <c r="I35">
        <v>1</v>
      </c>
      <c r="J35">
        <f t="shared" si="0"/>
        <v>0.26724000000000003</v>
      </c>
      <c r="S35">
        <v>175.2</v>
      </c>
      <c r="T35">
        <f t="shared" si="1"/>
        <v>175200</v>
      </c>
      <c r="U35">
        <v>162.1</v>
      </c>
      <c r="V35">
        <f t="shared" si="2"/>
        <v>162100</v>
      </c>
      <c r="W35">
        <v>0.27</v>
      </c>
      <c r="X35">
        <v>0.15</v>
      </c>
      <c r="Y35">
        <f t="shared" si="3"/>
        <v>0.55555555555555547</v>
      </c>
      <c r="Z35">
        <v>3.9699999999999999E-2</v>
      </c>
      <c r="AA35" t="s">
        <v>63</v>
      </c>
      <c r="AC35">
        <f t="shared" si="4"/>
        <v>5.4066719999999998E+26</v>
      </c>
      <c r="AD35">
        <v>3.47</v>
      </c>
      <c r="AE35">
        <v>0.375</v>
      </c>
    </row>
    <row r="36" spans="1:32" ht="17" x14ac:dyDescent="0.2">
      <c r="A36" t="s">
        <v>64</v>
      </c>
      <c r="B36">
        <v>120.1986</v>
      </c>
      <c r="C36">
        <v>37.728700000000003</v>
      </c>
      <c r="D36">
        <v>4.1599999999999998E-2</v>
      </c>
      <c r="E36" t="s">
        <v>30</v>
      </c>
      <c r="F36">
        <v>0.82099999999999995</v>
      </c>
      <c r="I36">
        <v>1</v>
      </c>
      <c r="J36">
        <f t="shared" si="0"/>
        <v>0.27914</v>
      </c>
      <c r="S36">
        <v>183.8</v>
      </c>
      <c r="T36">
        <f t="shared" si="1"/>
        <v>183800</v>
      </c>
      <c r="U36">
        <v>169.4</v>
      </c>
      <c r="V36">
        <f t="shared" si="2"/>
        <v>169400</v>
      </c>
      <c r="W36">
        <v>0.63</v>
      </c>
      <c r="X36">
        <v>0.25</v>
      </c>
      <c r="Y36">
        <f t="shared" si="3"/>
        <v>0.3968253968253968</v>
      </c>
      <c r="Z36">
        <v>4.1599999999999998E-2</v>
      </c>
      <c r="AA36" t="s">
        <v>64</v>
      </c>
      <c r="AC36">
        <f t="shared" si="4"/>
        <v>5.6720679999999991E+26</v>
      </c>
      <c r="AD36" s="3">
        <v>9.07</v>
      </c>
      <c r="AE36" s="3">
        <v>0.86699999999999999</v>
      </c>
    </row>
    <row r="37" spans="1:32" x14ac:dyDescent="0.2">
      <c r="A37" t="s">
        <v>65</v>
      </c>
      <c r="B37">
        <v>113.6593</v>
      </c>
      <c r="C37">
        <v>28.742999999999999</v>
      </c>
      <c r="D37">
        <v>4.5699999999999998E-2</v>
      </c>
      <c r="E37" t="s">
        <v>30</v>
      </c>
      <c r="F37">
        <v>0.89800000000000002</v>
      </c>
      <c r="I37">
        <v>1</v>
      </c>
      <c r="J37">
        <f t="shared" si="0"/>
        <v>0.30532000000000004</v>
      </c>
      <c r="S37">
        <v>202.5</v>
      </c>
      <c r="T37">
        <f t="shared" si="1"/>
        <v>202500</v>
      </c>
      <c r="U37">
        <v>185.2</v>
      </c>
      <c r="V37">
        <f t="shared" si="2"/>
        <v>185200</v>
      </c>
      <c r="W37">
        <v>0.26</v>
      </c>
      <c r="X37">
        <v>0.23</v>
      </c>
      <c r="Y37">
        <f t="shared" si="3"/>
        <v>0.88461538461538458</v>
      </c>
      <c r="Z37">
        <v>4.5699999999999998E-2</v>
      </c>
      <c r="AA37" t="s">
        <v>65</v>
      </c>
      <c r="AC37">
        <f t="shared" si="4"/>
        <v>6.2491500000000006E+26</v>
      </c>
      <c r="AD37">
        <v>0</v>
      </c>
      <c r="AE37">
        <v>0</v>
      </c>
      <c r="AF37" t="s">
        <v>146</v>
      </c>
    </row>
    <row r="38" spans="1:32" x14ac:dyDescent="0.2">
      <c r="A38" t="s">
        <v>66</v>
      </c>
      <c r="B38">
        <v>169.70529999999999</v>
      </c>
      <c r="C38">
        <v>57.2498</v>
      </c>
      <c r="D38">
        <v>4.6100000000000002E-2</v>
      </c>
      <c r="E38" t="s">
        <v>30</v>
      </c>
      <c r="F38">
        <v>0.90500000000000003</v>
      </c>
      <c r="I38">
        <v>1</v>
      </c>
      <c r="J38">
        <f t="shared" si="0"/>
        <v>0.30770000000000003</v>
      </c>
      <c r="S38">
        <v>204.4</v>
      </c>
      <c r="T38">
        <f t="shared" si="1"/>
        <v>204400</v>
      </c>
      <c r="U38">
        <v>186.8</v>
      </c>
      <c r="V38">
        <f t="shared" si="2"/>
        <v>186800</v>
      </c>
      <c r="W38">
        <v>0.82</v>
      </c>
      <c r="X38">
        <v>0.12</v>
      </c>
      <c r="Y38">
        <f t="shared" si="3"/>
        <v>0.14634146341463414</v>
      </c>
      <c r="Z38">
        <v>4.6100000000000002E-2</v>
      </c>
      <c r="AA38" t="s">
        <v>66</v>
      </c>
      <c r="AC38">
        <f t="shared" si="4"/>
        <v>6.3077840000000004E+26</v>
      </c>
      <c r="AD38">
        <v>14.22</v>
      </c>
      <c r="AE38">
        <v>5.0330000000000004</v>
      </c>
    </row>
    <row r="39" spans="1:32" x14ac:dyDescent="0.2">
      <c r="A39" t="s">
        <v>67</v>
      </c>
      <c r="B39">
        <v>168.93940000000001</v>
      </c>
      <c r="C39">
        <v>29.244700000000002</v>
      </c>
      <c r="D39">
        <v>4.65E-2</v>
      </c>
      <c r="E39" t="s">
        <v>30</v>
      </c>
      <c r="F39">
        <v>0.91300000000000003</v>
      </c>
      <c r="I39">
        <v>1</v>
      </c>
      <c r="J39">
        <f t="shared" si="0"/>
        <v>0.31042000000000003</v>
      </c>
      <c r="S39">
        <v>206.2</v>
      </c>
      <c r="T39">
        <f t="shared" si="1"/>
        <v>206200</v>
      </c>
      <c r="U39">
        <v>188.3</v>
      </c>
      <c r="V39">
        <f t="shared" si="2"/>
        <v>188300</v>
      </c>
      <c r="W39">
        <v>0.28999999999999998</v>
      </c>
      <c r="X39">
        <v>0.13</v>
      </c>
      <c r="Y39">
        <f t="shared" si="3"/>
        <v>0.44827586206896558</v>
      </c>
      <c r="Z39">
        <v>4.65E-2</v>
      </c>
      <c r="AA39" t="s">
        <v>67</v>
      </c>
      <c r="AC39">
        <f t="shared" si="4"/>
        <v>6.3633319999999989E+26</v>
      </c>
      <c r="AD39">
        <v>5.28</v>
      </c>
      <c r="AE39">
        <v>0.48399999999999999</v>
      </c>
    </row>
    <row r="40" spans="1:32" x14ac:dyDescent="0.2">
      <c r="A40" t="s">
        <v>68</v>
      </c>
      <c r="B40">
        <v>357.99619999999999</v>
      </c>
      <c r="C40">
        <v>14.751099999999999</v>
      </c>
      <c r="D40">
        <v>4.6699999999999998E-2</v>
      </c>
      <c r="E40" t="s">
        <v>30</v>
      </c>
      <c r="F40">
        <v>0.91700000000000004</v>
      </c>
      <c r="I40">
        <v>1</v>
      </c>
      <c r="J40">
        <f t="shared" si="0"/>
        <v>0.31178000000000006</v>
      </c>
      <c r="S40">
        <v>207.1</v>
      </c>
      <c r="T40">
        <f t="shared" si="1"/>
        <v>207100</v>
      </c>
      <c r="U40">
        <v>189.1</v>
      </c>
      <c r="V40">
        <f t="shared" si="2"/>
        <v>189100</v>
      </c>
      <c r="W40">
        <v>0.51</v>
      </c>
      <c r="X40">
        <v>0.4</v>
      </c>
      <c r="Y40">
        <f t="shared" si="3"/>
        <v>0.78431372549019607</v>
      </c>
      <c r="Z40">
        <v>4.6699999999999998E-2</v>
      </c>
      <c r="AA40" t="s">
        <v>68</v>
      </c>
      <c r="AC40">
        <f t="shared" si="4"/>
        <v>6.3911060000000002E+26</v>
      </c>
      <c r="AD40">
        <v>8.68</v>
      </c>
      <c r="AE40">
        <v>0.19900000000000001</v>
      </c>
    </row>
    <row r="41" spans="1:32" x14ac:dyDescent="0.2">
      <c r="A41" t="s">
        <v>69</v>
      </c>
      <c r="B41">
        <v>40.418900000000001</v>
      </c>
      <c r="C41">
        <v>1.0459000000000001</v>
      </c>
      <c r="D41">
        <v>4.7100000000000003E-2</v>
      </c>
      <c r="E41" t="s">
        <v>30</v>
      </c>
      <c r="F41">
        <v>0.92400000000000004</v>
      </c>
      <c r="I41">
        <v>1</v>
      </c>
      <c r="J41">
        <f t="shared" si="0"/>
        <v>0.31416000000000005</v>
      </c>
      <c r="S41">
        <v>209</v>
      </c>
      <c r="T41">
        <f t="shared" si="1"/>
        <v>209000</v>
      </c>
      <c r="U41">
        <v>190.6</v>
      </c>
      <c r="V41">
        <f t="shared" si="2"/>
        <v>190600</v>
      </c>
      <c r="W41">
        <v>0.18</v>
      </c>
      <c r="X41">
        <v>0.15</v>
      </c>
      <c r="Y41">
        <f t="shared" si="3"/>
        <v>0.83333333333333337</v>
      </c>
      <c r="Z41">
        <v>4.7100000000000003E-2</v>
      </c>
      <c r="AA41" t="s">
        <v>69</v>
      </c>
      <c r="AC41">
        <f t="shared" si="4"/>
        <v>6.4497400000000001E+26</v>
      </c>
      <c r="AD41">
        <v>3.99</v>
      </c>
      <c r="AE41">
        <v>6.2E-2</v>
      </c>
    </row>
    <row r="42" spans="1:32" x14ac:dyDescent="0.2">
      <c r="A42" t="s">
        <v>70</v>
      </c>
      <c r="B42">
        <v>168.9682</v>
      </c>
      <c r="C42">
        <v>26.251200000000001</v>
      </c>
      <c r="D42">
        <v>4.7800000000000002E-2</v>
      </c>
      <c r="E42" t="s">
        <v>30</v>
      </c>
      <c r="F42">
        <v>0.93700000000000006</v>
      </c>
      <c r="I42">
        <v>1</v>
      </c>
      <c r="J42">
        <f t="shared" si="0"/>
        <v>0.31858000000000003</v>
      </c>
      <c r="S42">
        <v>212.2</v>
      </c>
      <c r="T42">
        <f t="shared" si="1"/>
        <v>212200</v>
      </c>
      <c r="U42">
        <v>193.3</v>
      </c>
      <c r="V42">
        <f t="shared" si="2"/>
        <v>193300</v>
      </c>
      <c r="W42">
        <v>0.27</v>
      </c>
      <c r="X42">
        <v>0.1</v>
      </c>
      <c r="Y42">
        <f t="shared" si="3"/>
        <v>0.37037037037037035</v>
      </c>
      <c r="Z42">
        <v>4.7800000000000002E-2</v>
      </c>
      <c r="AA42" t="s">
        <v>70</v>
      </c>
      <c r="AC42">
        <f t="shared" si="4"/>
        <v>6.5484919999999999E+26</v>
      </c>
      <c r="AD42">
        <v>5.59</v>
      </c>
      <c r="AE42">
        <v>0.49399999999999999</v>
      </c>
    </row>
    <row r="43" spans="1:32" x14ac:dyDescent="0.2">
      <c r="A43" t="s">
        <v>71</v>
      </c>
      <c r="B43">
        <v>15.6631</v>
      </c>
      <c r="C43">
        <v>-0.87880000000000003</v>
      </c>
      <c r="D43">
        <v>5.0500000000000003E-2</v>
      </c>
      <c r="E43" t="s">
        <v>72</v>
      </c>
      <c r="F43">
        <v>0.98699999999999999</v>
      </c>
      <c r="I43">
        <v>1</v>
      </c>
      <c r="J43">
        <f t="shared" si="0"/>
        <v>0.33558000000000004</v>
      </c>
      <c r="S43">
        <v>224.6</v>
      </c>
      <c r="T43">
        <f t="shared" si="1"/>
        <v>224600</v>
      </c>
      <c r="U43">
        <v>203.5</v>
      </c>
      <c r="V43">
        <f t="shared" si="2"/>
        <v>203500</v>
      </c>
      <c r="W43">
        <v>0.37</v>
      </c>
      <c r="X43">
        <v>0.12</v>
      </c>
      <c r="Y43">
        <f t="shared" si="3"/>
        <v>0.32432432432432434</v>
      </c>
      <c r="Z43">
        <v>5.0500000000000003E-2</v>
      </c>
      <c r="AA43" t="s">
        <v>71</v>
      </c>
      <c r="AC43">
        <f t="shared" si="4"/>
        <v>6.9311560000000003E+26</v>
      </c>
      <c r="AD43">
        <v>7.01</v>
      </c>
      <c r="AE43">
        <v>0.97299999999999998</v>
      </c>
    </row>
    <row r="44" spans="1:32" x14ac:dyDescent="0.2">
      <c r="A44" t="s">
        <v>73</v>
      </c>
      <c r="B44">
        <v>336.80840000000001</v>
      </c>
      <c r="C44">
        <v>-0.73329999999999995</v>
      </c>
      <c r="D44">
        <v>5.5899999999999998E-2</v>
      </c>
      <c r="E44" t="s">
        <v>72</v>
      </c>
      <c r="F44">
        <v>1.085</v>
      </c>
      <c r="I44">
        <v>1</v>
      </c>
      <c r="J44">
        <f t="shared" si="0"/>
        <v>0.36890000000000001</v>
      </c>
      <c r="S44">
        <v>249.6</v>
      </c>
      <c r="T44">
        <f t="shared" si="1"/>
        <v>249600</v>
      </c>
      <c r="U44">
        <v>223.8</v>
      </c>
      <c r="V44">
        <f t="shared" si="2"/>
        <v>223800</v>
      </c>
      <c r="W44">
        <v>0.23</v>
      </c>
      <c r="X44">
        <v>0.12</v>
      </c>
      <c r="Y44">
        <f t="shared" si="3"/>
        <v>0.52173913043478259</v>
      </c>
      <c r="Z44">
        <v>5.5899999999999998E-2</v>
      </c>
      <c r="AA44" t="s">
        <v>73</v>
      </c>
      <c r="AC44">
        <f t="shared" si="4"/>
        <v>7.7026559999999999E+26</v>
      </c>
      <c r="AD44">
        <v>4.91</v>
      </c>
      <c r="AE44">
        <v>0.41299999999999998</v>
      </c>
    </row>
    <row r="45" spans="1:32" x14ac:dyDescent="0.2">
      <c r="A45" t="s">
        <v>74</v>
      </c>
      <c r="B45">
        <v>25.279499999999999</v>
      </c>
      <c r="C45">
        <v>-0.2596</v>
      </c>
      <c r="D45">
        <v>5.62E-2</v>
      </c>
      <c r="E45" t="s">
        <v>30</v>
      </c>
      <c r="F45">
        <v>1.091</v>
      </c>
      <c r="I45">
        <v>1</v>
      </c>
      <c r="J45">
        <f t="shared" si="0"/>
        <v>0.37093999999999999</v>
      </c>
      <c r="S45">
        <v>251</v>
      </c>
      <c r="T45">
        <f t="shared" si="1"/>
        <v>251000</v>
      </c>
      <c r="U45">
        <v>225</v>
      </c>
      <c r="V45">
        <f t="shared" si="2"/>
        <v>225000</v>
      </c>
      <c r="W45">
        <v>0.24</v>
      </c>
      <c r="X45">
        <v>0.13</v>
      </c>
      <c r="Y45">
        <f t="shared" si="3"/>
        <v>0.54166666666666674</v>
      </c>
      <c r="Z45">
        <v>5.62E-2</v>
      </c>
      <c r="AA45" t="s">
        <v>74</v>
      </c>
      <c r="AC45">
        <f t="shared" si="4"/>
        <v>7.7458599999999998E+26</v>
      </c>
      <c r="AD45">
        <v>4.3099999999999996</v>
      </c>
      <c r="AE45">
        <v>0.106</v>
      </c>
    </row>
    <row r="46" spans="1:32" x14ac:dyDescent="0.2">
      <c r="A46" t="s">
        <v>75</v>
      </c>
      <c r="B46">
        <v>8.5413999999999994</v>
      </c>
      <c r="C46">
        <v>-0.28849999999999998</v>
      </c>
      <c r="D46">
        <v>5.8000000000000003E-2</v>
      </c>
      <c r="E46" t="s">
        <v>30</v>
      </c>
      <c r="F46">
        <v>1.123</v>
      </c>
      <c r="I46">
        <v>1</v>
      </c>
      <c r="J46">
        <f t="shared" si="0"/>
        <v>0.38182000000000005</v>
      </c>
      <c r="S46">
        <v>259.3</v>
      </c>
      <c r="T46">
        <f t="shared" si="1"/>
        <v>259300</v>
      </c>
      <c r="U46">
        <v>231.7</v>
      </c>
      <c r="V46">
        <f t="shared" si="2"/>
        <v>231700</v>
      </c>
      <c r="W46">
        <v>0.3</v>
      </c>
      <c r="X46">
        <v>0.16</v>
      </c>
      <c r="Y46">
        <f t="shared" si="3"/>
        <v>0.53333333333333333</v>
      </c>
      <c r="Z46">
        <v>5.8000000000000003E-2</v>
      </c>
      <c r="AA46" t="s">
        <v>75</v>
      </c>
      <c r="AC46">
        <f t="shared" si="4"/>
        <v>8.0019979999999992E+26</v>
      </c>
      <c r="AD46">
        <v>6.15</v>
      </c>
      <c r="AE46">
        <v>0.29399999999999998</v>
      </c>
    </row>
    <row r="47" spans="1:32" x14ac:dyDescent="0.2">
      <c r="A47" t="s">
        <v>76</v>
      </c>
      <c r="B47">
        <v>243.87020000000001</v>
      </c>
      <c r="C47">
        <v>31.422599999999999</v>
      </c>
      <c r="D47">
        <v>5.8400000000000001E-2</v>
      </c>
      <c r="E47" t="s">
        <v>30</v>
      </c>
      <c r="F47">
        <v>1.1299999999999999</v>
      </c>
      <c r="I47">
        <v>1</v>
      </c>
      <c r="J47">
        <f t="shared" si="0"/>
        <v>0.38419999999999999</v>
      </c>
      <c r="S47">
        <v>261.2</v>
      </c>
      <c r="T47">
        <f t="shared" si="1"/>
        <v>261200</v>
      </c>
      <c r="U47">
        <v>233.2</v>
      </c>
      <c r="V47">
        <f t="shared" si="2"/>
        <v>233200</v>
      </c>
      <c r="W47">
        <v>0.26</v>
      </c>
      <c r="X47">
        <v>0.14000000000000001</v>
      </c>
      <c r="Y47">
        <f t="shared" si="3"/>
        <v>0.53846153846153855</v>
      </c>
      <c r="Z47">
        <v>5.8400000000000001E-2</v>
      </c>
      <c r="AA47" t="s">
        <v>76</v>
      </c>
      <c r="AC47">
        <f t="shared" si="4"/>
        <v>8.0606319999999991E+26</v>
      </c>
      <c r="AD47">
        <v>6.3</v>
      </c>
      <c r="AE47">
        <v>0.54800000000000004</v>
      </c>
    </row>
    <row r="48" spans="1:32" x14ac:dyDescent="0.2">
      <c r="A48" t="s">
        <v>77</v>
      </c>
      <c r="B48">
        <v>112.2427</v>
      </c>
      <c r="C48">
        <v>36.9161</v>
      </c>
      <c r="D48">
        <v>0.06</v>
      </c>
      <c r="E48" t="s">
        <v>72</v>
      </c>
      <c r="F48">
        <v>1.159</v>
      </c>
      <c r="I48">
        <v>1</v>
      </c>
      <c r="J48">
        <f t="shared" si="0"/>
        <v>0.39406000000000002</v>
      </c>
      <c r="S48">
        <v>268.7</v>
      </c>
      <c r="T48">
        <f t="shared" si="1"/>
        <v>268700</v>
      </c>
      <c r="U48">
        <v>239.1</v>
      </c>
      <c r="V48">
        <f t="shared" si="2"/>
        <v>239100</v>
      </c>
      <c r="W48">
        <v>0.19</v>
      </c>
      <c r="X48">
        <v>0.11</v>
      </c>
      <c r="Y48">
        <f t="shared" si="3"/>
        <v>0.57894736842105265</v>
      </c>
      <c r="Z48">
        <v>0.06</v>
      </c>
      <c r="AA48" t="s">
        <v>77</v>
      </c>
      <c r="AC48">
        <f t="shared" si="4"/>
        <v>8.2920819999999999E+26</v>
      </c>
      <c r="AD48">
        <v>4.04</v>
      </c>
      <c r="AE48">
        <v>0.19900000000000001</v>
      </c>
    </row>
    <row r="49" spans="1:31" x14ac:dyDescent="0.2">
      <c r="A49" t="s">
        <v>78</v>
      </c>
      <c r="B49">
        <v>119.4387</v>
      </c>
      <c r="C49">
        <v>10.940300000000001</v>
      </c>
      <c r="D49">
        <v>6.8599999999999994E-2</v>
      </c>
      <c r="E49" t="s">
        <v>30</v>
      </c>
      <c r="F49">
        <v>1.3120000000000001</v>
      </c>
      <c r="I49">
        <v>1</v>
      </c>
      <c r="J49">
        <f t="shared" si="0"/>
        <v>0.44608000000000003</v>
      </c>
      <c r="S49">
        <v>309</v>
      </c>
      <c r="T49">
        <f t="shared" si="1"/>
        <v>309000</v>
      </c>
      <c r="U49">
        <v>270.60000000000002</v>
      </c>
      <c r="V49">
        <f t="shared" si="2"/>
        <v>270600</v>
      </c>
      <c r="W49">
        <v>0.31</v>
      </c>
      <c r="X49">
        <v>0.12</v>
      </c>
      <c r="Y49">
        <f t="shared" si="3"/>
        <v>0.38709677419354838</v>
      </c>
      <c r="Z49">
        <v>6.8599999999999994E-2</v>
      </c>
      <c r="AA49" t="s">
        <v>78</v>
      </c>
      <c r="AC49">
        <f t="shared" si="4"/>
        <v>9.5357399999999998E+26</v>
      </c>
      <c r="AD49">
        <v>4.0999999999999996</v>
      </c>
      <c r="AE49">
        <v>0.48</v>
      </c>
    </row>
    <row r="50" spans="1:31" x14ac:dyDescent="0.2">
      <c r="A50" t="s">
        <v>79</v>
      </c>
      <c r="B50">
        <v>354.65910000000002</v>
      </c>
      <c r="C50">
        <v>-0.5726</v>
      </c>
      <c r="D50">
        <v>7.2900000000000006E-2</v>
      </c>
      <c r="E50" t="s">
        <v>30</v>
      </c>
      <c r="F50">
        <v>1.387</v>
      </c>
      <c r="I50">
        <v>1</v>
      </c>
      <c r="J50">
        <f t="shared" si="0"/>
        <v>0.47158000000000005</v>
      </c>
      <c r="S50">
        <v>329.4</v>
      </c>
      <c r="T50">
        <f t="shared" si="1"/>
        <v>329400</v>
      </c>
      <c r="U50">
        <v>286.2</v>
      </c>
      <c r="V50">
        <f t="shared" si="2"/>
        <v>286200</v>
      </c>
      <c r="W50">
        <v>0.26</v>
      </c>
      <c r="X50">
        <v>0.12</v>
      </c>
      <c r="Y50">
        <f t="shared" si="3"/>
        <v>0.46153846153846151</v>
      </c>
      <c r="Z50">
        <v>7.2900000000000006E-2</v>
      </c>
      <c r="AA50" t="s">
        <v>79</v>
      </c>
      <c r="AC50">
        <f t="shared" si="4"/>
        <v>1.0165284E+27</v>
      </c>
      <c r="AD50">
        <v>5.43</v>
      </c>
      <c r="AE50">
        <v>0.34200000000000003</v>
      </c>
    </row>
    <row r="51" spans="1:31" x14ac:dyDescent="0.2">
      <c r="A51" t="s">
        <v>80</v>
      </c>
      <c r="B51">
        <v>118.8197</v>
      </c>
      <c r="C51">
        <v>39.488900000000001</v>
      </c>
      <c r="D51">
        <v>7.4700000000000003E-2</v>
      </c>
      <c r="E51" t="s">
        <v>72</v>
      </c>
      <c r="F51">
        <v>1.419</v>
      </c>
      <c r="I51">
        <v>1</v>
      </c>
      <c r="J51">
        <f t="shared" si="0"/>
        <v>0.48246000000000006</v>
      </c>
      <c r="S51">
        <v>338</v>
      </c>
      <c r="T51">
        <f t="shared" si="1"/>
        <v>338000</v>
      </c>
      <c r="U51">
        <v>292.60000000000002</v>
      </c>
      <c r="V51">
        <f t="shared" si="2"/>
        <v>292600</v>
      </c>
      <c r="W51">
        <v>0.23</v>
      </c>
      <c r="X51">
        <v>0.11</v>
      </c>
      <c r="Y51">
        <f t="shared" si="3"/>
        <v>0.47826086956521735</v>
      </c>
      <c r="Z51">
        <v>7.4700000000000003E-2</v>
      </c>
      <c r="AA51" t="s">
        <v>80</v>
      </c>
      <c r="AC51">
        <f t="shared" si="4"/>
        <v>1.043068E+27</v>
      </c>
      <c r="AD51">
        <v>2.67</v>
      </c>
      <c r="AE51">
        <v>0.19900000000000001</v>
      </c>
    </row>
    <row r="52" spans="1:31" x14ac:dyDescent="0.2">
      <c r="A52" t="s">
        <v>81</v>
      </c>
      <c r="B52">
        <v>31.107500000000002</v>
      </c>
      <c r="C52">
        <v>0.86480000000000001</v>
      </c>
      <c r="D52">
        <v>7.6300000000000007E-2</v>
      </c>
      <c r="E52" t="s">
        <v>30</v>
      </c>
      <c r="F52">
        <v>1.446</v>
      </c>
      <c r="I52">
        <v>1</v>
      </c>
      <c r="J52">
        <f t="shared" si="0"/>
        <v>0.49164000000000002</v>
      </c>
      <c r="S52">
        <v>345.6</v>
      </c>
      <c r="T52">
        <f t="shared" si="1"/>
        <v>345600</v>
      </c>
      <c r="U52">
        <v>298.3</v>
      </c>
      <c r="V52">
        <f t="shared" si="2"/>
        <v>298300</v>
      </c>
      <c r="W52">
        <v>0.32</v>
      </c>
      <c r="X52">
        <v>0.17</v>
      </c>
      <c r="Y52">
        <f t="shared" si="3"/>
        <v>0.53125</v>
      </c>
      <c r="Z52">
        <v>7.6300000000000007E-2</v>
      </c>
      <c r="AA52" t="s">
        <v>81</v>
      </c>
      <c r="AC52">
        <f t="shared" si="4"/>
        <v>1.0665215999999999E+27</v>
      </c>
      <c r="AD52">
        <v>6.49</v>
      </c>
      <c r="AE52">
        <v>0.32</v>
      </c>
    </row>
    <row r="53" spans="1:31" x14ac:dyDescent="0.2">
      <c r="A53" t="s">
        <v>82</v>
      </c>
      <c r="B53">
        <v>113.26730000000001</v>
      </c>
      <c r="C53">
        <v>45.583599999999997</v>
      </c>
      <c r="D53">
        <v>7.7700000000000005E-2</v>
      </c>
      <c r="E53" t="s">
        <v>30</v>
      </c>
      <c r="F53">
        <v>1.47</v>
      </c>
      <c r="I53">
        <v>1</v>
      </c>
      <c r="J53">
        <f t="shared" si="0"/>
        <v>0.49980000000000002</v>
      </c>
      <c r="S53">
        <v>352.3</v>
      </c>
      <c r="T53">
        <f t="shared" si="1"/>
        <v>352300</v>
      </c>
      <c r="U53">
        <v>303.3</v>
      </c>
      <c r="V53">
        <f t="shared" si="2"/>
        <v>303300</v>
      </c>
      <c r="W53">
        <v>0.38</v>
      </c>
      <c r="X53">
        <v>0.1</v>
      </c>
      <c r="Y53">
        <f t="shared" si="3"/>
        <v>0.26315789473684209</v>
      </c>
      <c r="Z53">
        <v>7.7700000000000005E-2</v>
      </c>
      <c r="AA53" t="s">
        <v>82</v>
      </c>
      <c r="AC53">
        <f t="shared" si="4"/>
        <v>1.0871978000000001E+27</v>
      </c>
      <c r="AD53">
        <v>6.53</v>
      </c>
      <c r="AE53">
        <v>0.78900000000000003</v>
      </c>
    </row>
    <row r="54" spans="1:31" x14ac:dyDescent="0.2">
      <c r="A54" t="s">
        <v>83</v>
      </c>
      <c r="B54">
        <v>255.94069999999999</v>
      </c>
      <c r="C54">
        <v>63.304400000000001</v>
      </c>
      <c r="D54">
        <v>8.0100000000000005E-2</v>
      </c>
      <c r="E54" t="s">
        <v>72</v>
      </c>
      <c r="F54">
        <v>1.512</v>
      </c>
      <c r="I54">
        <v>1</v>
      </c>
      <c r="J54">
        <f t="shared" si="0"/>
        <v>0.51408000000000009</v>
      </c>
      <c r="S54">
        <v>363.7</v>
      </c>
      <c r="T54">
        <f t="shared" si="1"/>
        <v>363700</v>
      </c>
      <c r="U54">
        <v>311.8</v>
      </c>
      <c r="V54">
        <f t="shared" si="2"/>
        <v>311800</v>
      </c>
      <c r="W54">
        <v>0.31</v>
      </c>
      <c r="X54">
        <v>0.14000000000000001</v>
      </c>
      <c r="Y54">
        <f t="shared" si="3"/>
        <v>0.45161290322580649</v>
      </c>
      <c r="Z54">
        <v>8.0100000000000005E-2</v>
      </c>
      <c r="AA54" t="s">
        <v>83</v>
      </c>
      <c r="AC54">
        <f t="shared" si="4"/>
        <v>1.1223782E+27</v>
      </c>
      <c r="AD54">
        <v>3.24</v>
      </c>
      <c r="AE54">
        <v>0.186</v>
      </c>
    </row>
    <row r="55" spans="1:31" x14ac:dyDescent="0.2">
      <c r="A55" t="s">
        <v>84</v>
      </c>
      <c r="B55">
        <v>39.435299999999998</v>
      </c>
      <c r="C55">
        <v>0.71130000000000004</v>
      </c>
      <c r="D55">
        <v>8.09E-2</v>
      </c>
      <c r="E55" t="s">
        <v>72</v>
      </c>
      <c r="F55">
        <v>1.5249999999999999</v>
      </c>
      <c r="I55">
        <v>1</v>
      </c>
      <c r="J55">
        <f t="shared" si="0"/>
        <v>0.51849999999999996</v>
      </c>
      <c r="S55">
        <v>367.6</v>
      </c>
      <c r="T55">
        <f t="shared" si="1"/>
        <v>367600</v>
      </c>
      <c r="U55">
        <v>314.60000000000002</v>
      </c>
      <c r="V55">
        <f t="shared" si="2"/>
        <v>314600</v>
      </c>
      <c r="W55">
        <v>0.24</v>
      </c>
      <c r="X55">
        <v>0.12</v>
      </c>
      <c r="Y55">
        <f t="shared" si="3"/>
        <v>0.5</v>
      </c>
      <c r="Z55">
        <v>8.09E-2</v>
      </c>
      <c r="AA55" t="s">
        <v>84</v>
      </c>
      <c r="AC55">
        <f t="shared" si="4"/>
        <v>1.1344135999999998E+27</v>
      </c>
      <c r="AD55">
        <v>3.9</v>
      </c>
      <c r="AE55">
        <v>0.22500000000000001</v>
      </c>
    </row>
    <row r="56" spans="1:31" x14ac:dyDescent="0.2">
      <c r="A56" t="s">
        <v>85</v>
      </c>
      <c r="B56">
        <v>345.1216</v>
      </c>
      <c r="C56">
        <v>0.60040000000000004</v>
      </c>
      <c r="D56">
        <v>8.1799999999999998E-2</v>
      </c>
      <c r="E56" t="s">
        <v>72</v>
      </c>
      <c r="F56">
        <v>1.5409999999999999</v>
      </c>
      <c r="I56">
        <v>1</v>
      </c>
      <c r="J56">
        <f t="shared" si="0"/>
        <v>0.52393999999999996</v>
      </c>
      <c r="S56">
        <v>371.9</v>
      </c>
      <c r="T56">
        <f t="shared" si="1"/>
        <v>371900</v>
      </c>
      <c r="U56">
        <v>317.8</v>
      </c>
      <c r="V56">
        <f t="shared" si="2"/>
        <v>317800</v>
      </c>
      <c r="W56">
        <v>0.25</v>
      </c>
      <c r="X56">
        <v>0.11</v>
      </c>
      <c r="Y56">
        <f t="shared" si="3"/>
        <v>0.44</v>
      </c>
      <c r="Z56">
        <v>8.1799999999999998E-2</v>
      </c>
      <c r="AA56" t="s">
        <v>85</v>
      </c>
      <c r="AC56">
        <f t="shared" si="4"/>
        <v>1.1476833999999999E+27</v>
      </c>
      <c r="AD56">
        <v>4.07</v>
      </c>
      <c r="AE56">
        <v>0.42599999999999999</v>
      </c>
    </row>
    <row r="57" spans="1:31" x14ac:dyDescent="0.2">
      <c r="A57" t="s">
        <v>86</v>
      </c>
      <c r="B57">
        <v>9.8401999999999994</v>
      </c>
      <c r="C57">
        <v>0.37219999999999998</v>
      </c>
      <c r="D57">
        <v>8.2699999999999996E-2</v>
      </c>
      <c r="E57" t="s">
        <v>72</v>
      </c>
      <c r="F57">
        <v>1.556</v>
      </c>
      <c r="I57">
        <v>1</v>
      </c>
      <c r="J57">
        <f t="shared" si="0"/>
        <v>0.52904000000000007</v>
      </c>
      <c r="S57">
        <v>376.2</v>
      </c>
      <c r="T57">
        <f t="shared" si="1"/>
        <v>376200</v>
      </c>
      <c r="U57">
        <v>320.89999999999998</v>
      </c>
      <c r="V57">
        <f t="shared" si="2"/>
        <v>320900</v>
      </c>
      <c r="W57">
        <v>0.26</v>
      </c>
      <c r="X57">
        <v>0.08</v>
      </c>
      <c r="Y57">
        <f t="shared" si="3"/>
        <v>0.30769230769230771</v>
      </c>
      <c r="Z57">
        <v>8.2699999999999996E-2</v>
      </c>
      <c r="AA57" t="s">
        <v>86</v>
      </c>
      <c r="AC57">
        <f t="shared" si="4"/>
        <v>1.1609531999999999E+27</v>
      </c>
      <c r="AD57">
        <v>4.2699999999999996</v>
      </c>
      <c r="AE57">
        <v>0.74099999999999999</v>
      </c>
    </row>
    <row r="58" spans="1:31" x14ac:dyDescent="0.2">
      <c r="A58" t="s">
        <v>87</v>
      </c>
      <c r="B58">
        <v>3.9853999999999998</v>
      </c>
      <c r="C58">
        <v>14.1975</v>
      </c>
      <c r="D58">
        <v>8.3400000000000002E-2</v>
      </c>
      <c r="E58" t="s">
        <v>72</v>
      </c>
      <c r="F58">
        <v>1.5680000000000001</v>
      </c>
      <c r="I58">
        <v>1</v>
      </c>
      <c r="J58">
        <f t="shared" si="0"/>
        <v>0.53312000000000004</v>
      </c>
      <c r="S58">
        <v>379.6</v>
      </c>
      <c r="T58">
        <f t="shared" si="1"/>
        <v>379600</v>
      </c>
      <c r="U58">
        <v>323.39999999999998</v>
      </c>
      <c r="V58">
        <f t="shared" si="2"/>
        <v>323400</v>
      </c>
      <c r="W58">
        <v>0.42</v>
      </c>
      <c r="X58">
        <v>0.08</v>
      </c>
      <c r="Y58">
        <f t="shared" si="3"/>
        <v>0.19047619047619049</v>
      </c>
      <c r="Z58">
        <v>8.3400000000000002E-2</v>
      </c>
      <c r="AA58" t="s">
        <v>87</v>
      </c>
      <c r="AC58">
        <f t="shared" si="4"/>
        <v>1.1714455999999999E+27</v>
      </c>
      <c r="AD58">
        <v>7.48</v>
      </c>
      <c r="AE58">
        <v>0.91</v>
      </c>
    </row>
    <row r="59" spans="1:31" x14ac:dyDescent="0.2">
      <c r="A59" t="s">
        <v>88</v>
      </c>
      <c r="B59">
        <v>355.49549999999999</v>
      </c>
      <c r="C59">
        <v>14.9084</v>
      </c>
      <c r="D59">
        <v>8.5599999999999996E-2</v>
      </c>
      <c r="E59" t="s">
        <v>72</v>
      </c>
      <c r="F59">
        <v>1.605</v>
      </c>
      <c r="I59">
        <v>1</v>
      </c>
      <c r="J59">
        <f t="shared" si="0"/>
        <v>0.54570000000000007</v>
      </c>
      <c r="S59">
        <v>390.2</v>
      </c>
      <c r="T59">
        <f t="shared" si="1"/>
        <v>390200</v>
      </c>
      <c r="U59">
        <v>331.1</v>
      </c>
      <c r="V59">
        <f t="shared" si="2"/>
        <v>331100</v>
      </c>
      <c r="W59">
        <v>0.25</v>
      </c>
      <c r="X59">
        <v>0.19</v>
      </c>
      <c r="Y59">
        <f t="shared" si="3"/>
        <v>0.76</v>
      </c>
      <c r="Z59">
        <v>8.5599999999999996E-2</v>
      </c>
      <c r="AA59" t="s">
        <v>88</v>
      </c>
      <c r="AC59">
        <f t="shared" si="4"/>
        <v>1.2041571999999999E+27</v>
      </c>
      <c r="AD59">
        <v>4.83</v>
      </c>
      <c r="AE59">
        <v>0.27</v>
      </c>
    </row>
    <row r="60" spans="1:31" x14ac:dyDescent="0.2">
      <c r="A60" t="s">
        <v>89</v>
      </c>
      <c r="B60">
        <v>250.60169999999999</v>
      </c>
      <c r="C60">
        <v>29.096399999999999</v>
      </c>
      <c r="D60">
        <v>8.9599999999999999E-2</v>
      </c>
      <c r="E60" t="s">
        <v>72</v>
      </c>
      <c r="F60">
        <v>1.6719999999999999</v>
      </c>
      <c r="I60">
        <v>1</v>
      </c>
      <c r="J60">
        <f t="shared" si="0"/>
        <v>0.56847999999999999</v>
      </c>
      <c r="S60">
        <v>409.5</v>
      </c>
      <c r="T60">
        <f t="shared" si="1"/>
        <v>409500</v>
      </c>
      <c r="U60">
        <v>345</v>
      </c>
      <c r="V60">
        <f t="shared" si="2"/>
        <v>345000</v>
      </c>
      <c r="W60">
        <v>0.37</v>
      </c>
      <c r="X60">
        <v>0.11</v>
      </c>
      <c r="Y60">
        <f t="shared" si="3"/>
        <v>0.29729729729729731</v>
      </c>
      <c r="Z60">
        <v>8.9599999999999999E-2</v>
      </c>
      <c r="AA60" t="s">
        <v>89</v>
      </c>
      <c r="AC60">
        <f t="shared" si="4"/>
        <v>1.2637169999999999E+27</v>
      </c>
      <c r="AD60">
        <v>6.49</v>
      </c>
      <c r="AE60">
        <v>1.8620000000000001</v>
      </c>
    </row>
    <row r="61" spans="1:31" x14ac:dyDescent="0.2">
      <c r="A61" t="s">
        <v>90</v>
      </c>
      <c r="B61">
        <v>329.8845</v>
      </c>
      <c r="C61">
        <v>-7.8236999999999997</v>
      </c>
      <c r="D61">
        <v>9.2600000000000002E-2</v>
      </c>
      <c r="E61" t="s">
        <v>72</v>
      </c>
      <c r="F61">
        <v>1.722</v>
      </c>
      <c r="I61">
        <v>1</v>
      </c>
      <c r="J61">
        <f t="shared" si="0"/>
        <v>0.58548</v>
      </c>
      <c r="S61">
        <v>424.1</v>
      </c>
      <c r="T61">
        <f t="shared" si="1"/>
        <v>424100</v>
      </c>
      <c r="U61">
        <v>355.3</v>
      </c>
      <c r="V61">
        <f t="shared" si="2"/>
        <v>355300</v>
      </c>
      <c r="W61">
        <v>0.32</v>
      </c>
      <c r="X61">
        <v>0.24</v>
      </c>
      <c r="Y61">
        <f t="shared" si="3"/>
        <v>0.75</v>
      </c>
      <c r="Z61">
        <v>9.2600000000000002E-2</v>
      </c>
      <c r="AA61" t="s">
        <v>90</v>
      </c>
      <c r="AC61">
        <f t="shared" si="4"/>
        <v>1.3087725999999998E+27</v>
      </c>
      <c r="AD61">
        <v>8.43</v>
      </c>
      <c r="AE61">
        <v>0.24199999999999999</v>
      </c>
    </row>
    <row r="62" spans="1:31" x14ac:dyDescent="0.2">
      <c r="A62" t="s">
        <v>91</v>
      </c>
      <c r="B62">
        <v>336.37779999999998</v>
      </c>
      <c r="C62">
        <v>-6.7900000000000002E-2</v>
      </c>
      <c r="D62">
        <v>9.7699999999999995E-2</v>
      </c>
      <c r="E62" t="s">
        <v>72</v>
      </c>
      <c r="F62">
        <v>1.8069999999999999</v>
      </c>
      <c r="I62">
        <v>1</v>
      </c>
      <c r="J62">
        <f t="shared" si="0"/>
        <v>0.61438000000000004</v>
      </c>
      <c r="S62">
        <v>449</v>
      </c>
      <c r="T62">
        <f t="shared" si="1"/>
        <v>449000</v>
      </c>
      <c r="U62">
        <v>372.6</v>
      </c>
      <c r="V62">
        <f t="shared" si="2"/>
        <v>372600</v>
      </c>
      <c r="W62">
        <v>0.22</v>
      </c>
      <c r="X62">
        <v>0.12</v>
      </c>
      <c r="Y62">
        <f t="shared" si="3"/>
        <v>0.54545454545454541</v>
      </c>
      <c r="Z62">
        <v>9.7699999999999995E-2</v>
      </c>
      <c r="AA62" t="s">
        <v>91</v>
      </c>
      <c r="AC62">
        <f t="shared" si="4"/>
        <v>1.3856140000000001E+27</v>
      </c>
      <c r="AD62">
        <v>4.26</v>
      </c>
      <c r="AE62">
        <v>0.27300000000000002</v>
      </c>
    </row>
    <row r="63" spans="1:31" x14ac:dyDescent="0.2">
      <c r="A63" t="s">
        <v>92</v>
      </c>
      <c r="B63">
        <v>259.56029999999998</v>
      </c>
      <c r="C63">
        <v>64.293199999999999</v>
      </c>
      <c r="D63">
        <v>0.10340000000000001</v>
      </c>
      <c r="E63" t="s">
        <v>72</v>
      </c>
      <c r="F63">
        <v>1.9</v>
      </c>
      <c r="I63">
        <v>1</v>
      </c>
      <c r="J63">
        <f t="shared" si="0"/>
        <v>0.64600000000000002</v>
      </c>
      <c r="S63">
        <v>477</v>
      </c>
      <c r="T63">
        <f t="shared" si="1"/>
        <v>477000</v>
      </c>
      <c r="U63">
        <v>391.8</v>
      </c>
      <c r="V63">
        <f t="shared" si="2"/>
        <v>391800</v>
      </c>
      <c r="W63">
        <v>0.14000000000000001</v>
      </c>
      <c r="X63">
        <v>0.13</v>
      </c>
      <c r="Y63">
        <f t="shared" si="3"/>
        <v>0.92857142857142849</v>
      </c>
      <c r="Z63">
        <v>0.10340000000000001</v>
      </c>
      <c r="AA63" t="s">
        <v>92</v>
      </c>
      <c r="AC63">
        <f t="shared" si="4"/>
        <v>1.4720219999999999E+27</v>
      </c>
      <c r="AD63">
        <v>2.37</v>
      </c>
      <c r="AE63">
        <v>4.1000000000000002E-2</v>
      </c>
    </row>
    <row r="64" spans="1:31" x14ac:dyDescent="0.2">
      <c r="A64" t="s">
        <v>93</v>
      </c>
      <c r="B64">
        <v>348.2808</v>
      </c>
      <c r="C64">
        <v>15.481400000000001</v>
      </c>
      <c r="D64">
        <v>0.10979999999999999</v>
      </c>
      <c r="E64" t="s">
        <v>72</v>
      </c>
      <c r="F64">
        <v>2.0019999999999998</v>
      </c>
      <c r="I64">
        <v>1</v>
      </c>
      <c r="J64">
        <f t="shared" si="0"/>
        <v>0.68067999999999995</v>
      </c>
      <c r="S64">
        <v>508.7</v>
      </c>
      <c r="T64">
        <f t="shared" si="1"/>
        <v>508700</v>
      </c>
      <c r="U64">
        <v>413</v>
      </c>
      <c r="V64">
        <f t="shared" si="2"/>
        <v>413000</v>
      </c>
      <c r="W64">
        <v>0.18</v>
      </c>
      <c r="X64">
        <v>0.1</v>
      </c>
      <c r="Y64">
        <f t="shared" si="3"/>
        <v>0.55555555555555558</v>
      </c>
      <c r="Z64">
        <v>0.10979999999999999</v>
      </c>
      <c r="AA64" t="s">
        <v>93</v>
      </c>
      <c r="AC64">
        <f t="shared" si="4"/>
        <v>1.5698482000000001E+27</v>
      </c>
      <c r="AD64">
        <v>3.09</v>
      </c>
      <c r="AE64">
        <v>0.14899999999999999</v>
      </c>
    </row>
    <row r="65" spans="1:31" x14ac:dyDescent="0.2">
      <c r="A65" t="s">
        <v>94</v>
      </c>
      <c r="B65">
        <v>1.133</v>
      </c>
      <c r="C65">
        <v>-1.2365999999999999</v>
      </c>
      <c r="D65">
        <v>8.8800000000000004E-2</v>
      </c>
      <c r="E65" t="s">
        <v>72</v>
      </c>
      <c r="F65">
        <v>1.659</v>
      </c>
      <c r="I65">
        <v>1</v>
      </c>
      <c r="J65">
        <f t="shared" si="0"/>
        <v>0.56406000000000001</v>
      </c>
      <c r="S65">
        <v>405.7</v>
      </c>
      <c r="T65">
        <f t="shared" si="1"/>
        <v>405700</v>
      </c>
      <c r="U65">
        <v>342.2</v>
      </c>
      <c r="V65">
        <f t="shared" si="2"/>
        <v>342200</v>
      </c>
      <c r="W65">
        <v>0.21</v>
      </c>
      <c r="X65">
        <v>0.15</v>
      </c>
      <c r="Y65">
        <f t="shared" si="3"/>
        <v>0.7142857142857143</v>
      </c>
      <c r="Z65">
        <v>8.8800000000000004E-2</v>
      </c>
      <c r="AA65" t="s">
        <v>94</v>
      </c>
      <c r="AC65">
        <f t="shared" si="4"/>
        <v>1.2519902E+27</v>
      </c>
      <c r="AD65">
        <v>2.72</v>
      </c>
      <c r="AE65">
        <v>0.16200000000000001</v>
      </c>
    </row>
    <row r="66" spans="1:31" x14ac:dyDescent="0.2">
      <c r="A66" t="s">
        <v>95</v>
      </c>
      <c r="B66">
        <v>29.568100000000001</v>
      </c>
      <c r="C66">
        <v>-0.52190000000000003</v>
      </c>
      <c r="D66">
        <v>8.0500000000000002E-2</v>
      </c>
      <c r="E66" t="s">
        <v>72</v>
      </c>
      <c r="F66">
        <v>1.518</v>
      </c>
      <c r="I66">
        <v>1</v>
      </c>
      <c r="J66">
        <f t="shared" si="0"/>
        <v>0.51612000000000002</v>
      </c>
      <c r="S66">
        <v>365.7</v>
      </c>
      <c r="T66">
        <f t="shared" si="1"/>
        <v>365700</v>
      </c>
      <c r="U66">
        <v>313.2</v>
      </c>
      <c r="V66">
        <f t="shared" si="2"/>
        <v>313200</v>
      </c>
      <c r="W66">
        <v>0.36</v>
      </c>
      <c r="X66">
        <v>0.27</v>
      </c>
      <c r="Y66">
        <f t="shared" si="3"/>
        <v>0.75000000000000011</v>
      </c>
      <c r="Z66">
        <v>8.0500000000000002E-2</v>
      </c>
      <c r="AA66" t="s">
        <v>95</v>
      </c>
      <c r="AC66">
        <f t="shared" si="4"/>
        <v>1.1285502E+27</v>
      </c>
      <c r="AD66">
        <v>10.82</v>
      </c>
      <c r="AE66">
        <v>0.38600000000000001</v>
      </c>
    </row>
    <row r="67" spans="1:31" x14ac:dyDescent="0.2">
      <c r="A67" t="s">
        <v>96</v>
      </c>
      <c r="B67">
        <v>31.007899999999999</v>
      </c>
      <c r="C67">
        <v>14.241300000000001</v>
      </c>
      <c r="D67">
        <v>8.1299999999999997E-2</v>
      </c>
      <c r="E67" t="s">
        <v>72</v>
      </c>
      <c r="F67">
        <v>1.532</v>
      </c>
      <c r="I67">
        <v>1</v>
      </c>
      <c r="J67">
        <f t="shared" ref="J67:J112" si="5">I67*0.34*F67</f>
        <v>0.52088000000000001</v>
      </c>
      <c r="S67">
        <v>369.5</v>
      </c>
      <c r="T67">
        <f t="shared" ref="T67:T112" si="6">S67*1000</f>
        <v>369500</v>
      </c>
      <c r="U67">
        <v>316</v>
      </c>
      <c r="V67">
        <f t="shared" ref="V67:V112" si="7">U67*1000</f>
        <v>316000</v>
      </c>
      <c r="W67">
        <v>0.14000000000000001</v>
      </c>
      <c r="X67">
        <v>0.13</v>
      </c>
      <c r="Y67">
        <f t="shared" ref="Y67:Y109" si="8">X67/W67</f>
        <v>0.92857142857142849</v>
      </c>
      <c r="Z67">
        <v>8.1299999999999997E-2</v>
      </c>
      <c r="AA67" t="s">
        <v>96</v>
      </c>
      <c r="AC67">
        <f t="shared" ref="AC67:AC112" si="9">T67*3.086*10^21</f>
        <v>1.140277E+27</v>
      </c>
      <c r="AD67">
        <v>3.36</v>
      </c>
      <c r="AE67">
        <v>6.8000000000000005E-2</v>
      </c>
    </row>
    <row r="68" spans="1:31" x14ac:dyDescent="0.2">
      <c r="A68" t="s">
        <v>97</v>
      </c>
      <c r="B68">
        <v>59.217100000000002</v>
      </c>
      <c r="C68">
        <v>-5.0298999999999996</v>
      </c>
      <c r="D68">
        <v>7.0599999999999996E-2</v>
      </c>
      <c r="E68" t="s">
        <v>72</v>
      </c>
      <c r="F68">
        <v>1.347</v>
      </c>
      <c r="I68">
        <v>1</v>
      </c>
      <c r="J68">
        <f t="shared" si="5"/>
        <v>0.45798</v>
      </c>
      <c r="S68">
        <v>318.5</v>
      </c>
      <c r="T68">
        <f t="shared" si="6"/>
        <v>318500</v>
      </c>
      <c r="U68">
        <v>277.89999999999998</v>
      </c>
      <c r="V68">
        <f t="shared" si="7"/>
        <v>277900</v>
      </c>
      <c r="W68">
        <v>0.28999999999999998</v>
      </c>
      <c r="X68">
        <v>0.1</v>
      </c>
      <c r="Y68">
        <f t="shared" si="8"/>
        <v>0.34482758620689657</v>
      </c>
      <c r="Z68">
        <v>7.0599999999999996E-2</v>
      </c>
      <c r="AA68" t="s">
        <v>97</v>
      </c>
      <c r="AC68">
        <f t="shared" si="9"/>
        <v>9.8289100000000005E+26</v>
      </c>
      <c r="AD68">
        <v>5.99</v>
      </c>
      <c r="AE68">
        <v>0.79600000000000004</v>
      </c>
    </row>
    <row r="69" spans="1:31" x14ac:dyDescent="0.2">
      <c r="A69" t="s">
        <v>98</v>
      </c>
      <c r="B69">
        <v>116.1934</v>
      </c>
      <c r="C69">
        <v>42.844499999999996</v>
      </c>
      <c r="D69">
        <v>5.0799999999999998E-2</v>
      </c>
      <c r="E69" t="s">
        <v>30</v>
      </c>
      <c r="F69">
        <v>0.99199999999999999</v>
      </c>
      <c r="I69">
        <v>1</v>
      </c>
      <c r="J69">
        <f t="shared" si="5"/>
        <v>0.33728000000000002</v>
      </c>
      <c r="S69">
        <v>226</v>
      </c>
      <c r="T69">
        <f t="shared" si="6"/>
        <v>226000</v>
      </c>
      <c r="U69">
        <v>204.7</v>
      </c>
      <c r="V69">
        <f t="shared" si="7"/>
        <v>204700</v>
      </c>
      <c r="W69">
        <v>0.23</v>
      </c>
      <c r="X69">
        <v>0.22</v>
      </c>
      <c r="Y69">
        <f t="shared" si="8"/>
        <v>0.9565217391304347</v>
      </c>
      <c r="Z69">
        <v>5.0799999999999998E-2</v>
      </c>
      <c r="AA69" t="s">
        <v>98</v>
      </c>
      <c r="AC69">
        <f t="shared" si="9"/>
        <v>6.9743600000000002E+26</v>
      </c>
      <c r="AD69">
        <v>4.6399999999999997</v>
      </c>
      <c r="AE69">
        <v>0.23200000000000001</v>
      </c>
    </row>
    <row r="70" spans="1:31" x14ac:dyDescent="0.2">
      <c r="A70" t="s">
        <v>99</v>
      </c>
      <c r="B70">
        <v>119.7796</v>
      </c>
      <c r="C70">
        <v>52.747199999999999</v>
      </c>
      <c r="D70">
        <v>1.9199999999999998E-2</v>
      </c>
      <c r="E70" t="s">
        <v>30</v>
      </c>
      <c r="F70">
        <v>0.38900000000000001</v>
      </c>
      <c r="I70">
        <v>1</v>
      </c>
      <c r="J70">
        <f t="shared" si="5"/>
        <v>0.13226000000000002</v>
      </c>
      <c r="S70">
        <v>83.4</v>
      </c>
      <c r="T70">
        <f t="shared" si="6"/>
        <v>83400</v>
      </c>
      <c r="U70">
        <v>80.33</v>
      </c>
      <c r="V70">
        <f t="shared" si="7"/>
        <v>80330</v>
      </c>
      <c r="W70">
        <v>0.25</v>
      </c>
      <c r="X70">
        <v>0.16</v>
      </c>
      <c r="Y70">
        <f t="shared" si="8"/>
        <v>0.64</v>
      </c>
      <c r="Z70">
        <v>1.9199999999999998E-2</v>
      </c>
      <c r="AA70" t="s">
        <v>99</v>
      </c>
      <c r="AC70">
        <f t="shared" si="9"/>
        <v>2.5737239999999998E+26</v>
      </c>
      <c r="AD70">
        <v>6.38</v>
      </c>
      <c r="AE70">
        <v>0.193</v>
      </c>
    </row>
    <row r="71" spans="1:31" x14ac:dyDescent="0.2">
      <c r="A71" t="s">
        <v>100</v>
      </c>
      <c r="B71">
        <v>129.2149</v>
      </c>
      <c r="C71">
        <v>17.535499999999999</v>
      </c>
      <c r="D71">
        <v>4.19E-2</v>
      </c>
      <c r="E71" t="s">
        <v>30</v>
      </c>
      <c r="F71">
        <v>0.82699999999999996</v>
      </c>
      <c r="I71">
        <v>1</v>
      </c>
      <c r="J71">
        <f t="shared" si="5"/>
        <v>0.28117999999999999</v>
      </c>
      <c r="S71">
        <v>185.2</v>
      </c>
      <c r="T71">
        <f t="shared" si="6"/>
        <v>185200</v>
      </c>
      <c r="U71">
        <v>170.6</v>
      </c>
      <c r="V71">
        <f t="shared" si="7"/>
        <v>170600</v>
      </c>
      <c r="W71">
        <v>0.23</v>
      </c>
      <c r="X71">
        <v>0.12</v>
      </c>
      <c r="Y71">
        <f t="shared" si="8"/>
        <v>0.52173913043478259</v>
      </c>
      <c r="Z71">
        <v>4.19E-2</v>
      </c>
      <c r="AA71" t="s">
        <v>100</v>
      </c>
      <c r="AC71">
        <f t="shared" si="9"/>
        <v>5.7152719999999997E+26</v>
      </c>
      <c r="AD71">
        <v>1.93</v>
      </c>
      <c r="AE71">
        <v>7.3999999999999996E-2</v>
      </c>
    </row>
    <row r="72" spans="1:31" x14ac:dyDescent="0.2">
      <c r="A72" t="s">
        <v>101</v>
      </c>
      <c r="B72">
        <v>138.26499999999999</v>
      </c>
      <c r="C72">
        <v>28.635400000000001</v>
      </c>
      <c r="D72">
        <v>2.2499999999999999E-2</v>
      </c>
      <c r="E72" t="s">
        <v>30</v>
      </c>
      <c r="F72">
        <v>0.45500000000000002</v>
      </c>
      <c r="I72">
        <v>1</v>
      </c>
      <c r="J72">
        <f t="shared" si="5"/>
        <v>0.1547</v>
      </c>
      <c r="S72">
        <v>98</v>
      </c>
      <c r="T72">
        <f t="shared" si="6"/>
        <v>98000</v>
      </c>
      <c r="U72">
        <v>93.762</v>
      </c>
      <c r="V72">
        <f t="shared" si="7"/>
        <v>93762</v>
      </c>
      <c r="W72">
        <v>0.99</v>
      </c>
      <c r="X72">
        <v>0.13</v>
      </c>
      <c r="Y72">
        <f t="shared" si="8"/>
        <v>0.13131313131313133</v>
      </c>
      <c r="Z72">
        <v>2.2499999999999999E-2</v>
      </c>
      <c r="AA72" t="s">
        <v>101</v>
      </c>
      <c r="AC72">
        <f t="shared" si="9"/>
        <v>3.0242800000000002E+26</v>
      </c>
      <c r="AD72">
        <v>14.4</v>
      </c>
      <c r="AE72">
        <v>3.3919999999999999</v>
      </c>
    </row>
    <row r="73" spans="1:31" x14ac:dyDescent="0.2">
      <c r="A73" t="s">
        <v>102</v>
      </c>
      <c r="B73">
        <v>140.87690000000001</v>
      </c>
      <c r="C73">
        <v>29.2318</v>
      </c>
      <c r="D73">
        <v>3.2800000000000003E-2</v>
      </c>
      <c r="E73" t="s">
        <v>30</v>
      </c>
      <c r="F73">
        <v>0.65500000000000003</v>
      </c>
      <c r="I73">
        <v>1</v>
      </c>
      <c r="J73">
        <f t="shared" si="5"/>
        <v>0.22270000000000004</v>
      </c>
      <c r="S73">
        <v>144</v>
      </c>
      <c r="T73">
        <f t="shared" si="6"/>
        <v>144000</v>
      </c>
      <c r="U73">
        <v>135</v>
      </c>
      <c r="V73">
        <f t="shared" si="7"/>
        <v>135000</v>
      </c>
      <c r="W73">
        <v>0.28000000000000003</v>
      </c>
      <c r="X73">
        <v>0.08</v>
      </c>
      <c r="Y73">
        <f t="shared" si="8"/>
        <v>0.2857142857142857</v>
      </c>
      <c r="Z73">
        <v>3.2800000000000003E-2</v>
      </c>
      <c r="AA73" t="s">
        <v>102</v>
      </c>
      <c r="AC73">
        <f t="shared" si="9"/>
        <v>4.4438399999999999E+26</v>
      </c>
      <c r="AD73">
        <v>5.32</v>
      </c>
      <c r="AE73">
        <v>0.72899999999999998</v>
      </c>
    </row>
    <row r="74" spans="1:31" x14ac:dyDescent="0.2">
      <c r="A74" t="s">
        <v>103</v>
      </c>
      <c r="B74">
        <v>144.26769999999999</v>
      </c>
      <c r="C74">
        <v>33.591200000000001</v>
      </c>
      <c r="D74">
        <v>2.64E-2</v>
      </c>
      <c r="E74" t="s">
        <v>30</v>
      </c>
      <c r="F74">
        <v>0.53100000000000003</v>
      </c>
      <c r="I74">
        <v>1</v>
      </c>
      <c r="J74">
        <f t="shared" si="5"/>
        <v>0.18054000000000003</v>
      </c>
      <c r="S74">
        <v>115.4</v>
      </c>
      <c r="T74">
        <f t="shared" si="6"/>
        <v>115400</v>
      </c>
      <c r="U74">
        <v>109.5</v>
      </c>
      <c r="V74">
        <f t="shared" si="7"/>
        <v>109500</v>
      </c>
      <c r="W74">
        <v>0.87</v>
      </c>
      <c r="X74">
        <v>0.15</v>
      </c>
      <c r="Y74">
        <f t="shared" si="8"/>
        <v>0.17241379310344826</v>
      </c>
      <c r="Z74">
        <v>2.64E-2</v>
      </c>
      <c r="AA74" t="s">
        <v>103</v>
      </c>
      <c r="AC74">
        <f t="shared" si="9"/>
        <v>3.5612439999999999E+26</v>
      </c>
      <c r="AD74">
        <v>14.68</v>
      </c>
      <c r="AE74">
        <v>4.4249999999999998</v>
      </c>
    </row>
    <row r="75" spans="1:31" x14ac:dyDescent="0.2">
      <c r="A75" t="s">
        <v>104</v>
      </c>
      <c r="B75">
        <v>151.81</v>
      </c>
      <c r="C75">
        <v>39.329900000000002</v>
      </c>
      <c r="D75">
        <v>3.9399999999999998E-2</v>
      </c>
      <c r="E75" t="s">
        <v>30</v>
      </c>
      <c r="F75">
        <v>0.78</v>
      </c>
      <c r="I75">
        <v>1</v>
      </c>
      <c r="J75">
        <f t="shared" si="5"/>
        <v>0.26520000000000005</v>
      </c>
      <c r="S75">
        <v>173.8</v>
      </c>
      <c r="T75">
        <f t="shared" si="6"/>
        <v>173800</v>
      </c>
      <c r="U75">
        <v>160.9</v>
      </c>
      <c r="V75">
        <f t="shared" si="7"/>
        <v>160900</v>
      </c>
      <c r="W75">
        <v>0.36</v>
      </c>
      <c r="X75">
        <v>0.13</v>
      </c>
      <c r="Y75">
        <f t="shared" si="8"/>
        <v>0.36111111111111116</v>
      </c>
      <c r="Z75">
        <v>3.9399999999999998E-2</v>
      </c>
      <c r="AA75" t="s">
        <v>104</v>
      </c>
      <c r="AC75">
        <f t="shared" si="9"/>
        <v>5.3634679999999992E+26</v>
      </c>
      <c r="AD75">
        <v>5.67</v>
      </c>
      <c r="AE75">
        <v>0.57999999999999996</v>
      </c>
    </row>
    <row r="76" spans="1:31" x14ac:dyDescent="0.2">
      <c r="A76" t="s">
        <v>105</v>
      </c>
      <c r="B76">
        <v>154.24549999999999</v>
      </c>
      <c r="C76">
        <v>13.3993</v>
      </c>
      <c r="D76">
        <v>3.2500000000000001E-2</v>
      </c>
      <c r="E76" t="s">
        <v>30</v>
      </c>
      <c r="F76">
        <v>0.64900000000000002</v>
      </c>
      <c r="I76">
        <v>1</v>
      </c>
      <c r="J76">
        <f t="shared" si="5"/>
        <v>0.22066000000000002</v>
      </c>
      <c r="S76">
        <v>142.69999999999999</v>
      </c>
      <c r="T76">
        <f t="shared" si="6"/>
        <v>142700</v>
      </c>
      <c r="U76">
        <v>133.80000000000001</v>
      </c>
      <c r="V76">
        <f t="shared" si="7"/>
        <v>133800</v>
      </c>
      <c r="W76">
        <v>0.3</v>
      </c>
      <c r="X76">
        <v>0.19</v>
      </c>
      <c r="Y76">
        <f t="shared" si="8"/>
        <v>0.63333333333333341</v>
      </c>
      <c r="Z76">
        <v>3.2500000000000001E-2</v>
      </c>
      <c r="AA76" t="s">
        <v>105</v>
      </c>
      <c r="AC76">
        <f t="shared" si="9"/>
        <v>4.4037219999999994E+26</v>
      </c>
      <c r="AD76">
        <v>4.29</v>
      </c>
      <c r="AE76">
        <v>0.193</v>
      </c>
    </row>
    <row r="77" spans="1:31" x14ac:dyDescent="0.2">
      <c r="A77" t="s">
        <v>106</v>
      </c>
      <c r="B77">
        <v>156.41249999999999</v>
      </c>
      <c r="C77">
        <v>16.787299999999998</v>
      </c>
      <c r="D77">
        <v>3.4700000000000002E-2</v>
      </c>
      <c r="E77" t="s">
        <v>30</v>
      </c>
      <c r="F77">
        <v>0.69099999999999995</v>
      </c>
      <c r="I77">
        <v>1</v>
      </c>
      <c r="J77">
        <f t="shared" si="5"/>
        <v>0.23494000000000001</v>
      </c>
      <c r="S77">
        <v>152.6</v>
      </c>
      <c r="T77">
        <f t="shared" si="6"/>
        <v>152600</v>
      </c>
      <c r="U77">
        <v>142.5</v>
      </c>
      <c r="V77">
        <f t="shared" si="7"/>
        <v>142500</v>
      </c>
      <c r="W77">
        <v>0.38</v>
      </c>
      <c r="X77">
        <v>0.17</v>
      </c>
      <c r="Y77">
        <f t="shared" si="8"/>
        <v>0.44736842105263158</v>
      </c>
      <c r="Z77">
        <v>3.4700000000000002E-2</v>
      </c>
      <c r="AA77" t="s">
        <v>106</v>
      </c>
      <c r="AC77">
        <f t="shared" si="9"/>
        <v>4.709236E+26</v>
      </c>
      <c r="AD77">
        <v>4.22</v>
      </c>
      <c r="AE77">
        <v>0.63300000000000001</v>
      </c>
    </row>
    <row r="78" spans="1:31" x14ac:dyDescent="0.2">
      <c r="A78" t="s">
        <v>107</v>
      </c>
      <c r="B78">
        <v>173.85140000000001</v>
      </c>
      <c r="C78">
        <v>28.425899999999999</v>
      </c>
      <c r="D78">
        <v>3.3700000000000001E-2</v>
      </c>
      <c r="E78" t="s">
        <v>30</v>
      </c>
      <c r="F78">
        <v>0.67200000000000004</v>
      </c>
      <c r="I78">
        <v>1</v>
      </c>
      <c r="J78">
        <f t="shared" si="5"/>
        <v>0.22848000000000004</v>
      </c>
      <c r="S78">
        <v>148.1</v>
      </c>
      <c r="T78">
        <f t="shared" si="6"/>
        <v>148100</v>
      </c>
      <c r="U78">
        <v>138.6</v>
      </c>
      <c r="V78">
        <f t="shared" si="7"/>
        <v>138600</v>
      </c>
      <c r="W78">
        <v>0.32</v>
      </c>
      <c r="X78">
        <v>0.11</v>
      </c>
      <c r="Y78">
        <f t="shared" si="8"/>
        <v>0.34375</v>
      </c>
      <c r="Z78">
        <v>3.3700000000000001E-2</v>
      </c>
      <c r="AA78" t="s">
        <v>107</v>
      </c>
      <c r="AC78">
        <f t="shared" si="9"/>
        <v>4.5703659999999997E+26</v>
      </c>
      <c r="AD78">
        <v>6.16</v>
      </c>
      <c r="AE78">
        <v>0.60699999999999998</v>
      </c>
    </row>
    <row r="79" spans="1:31" x14ac:dyDescent="0.2">
      <c r="A79" t="s">
        <v>108</v>
      </c>
      <c r="B79">
        <v>181.95160000000001</v>
      </c>
      <c r="C79">
        <v>27.040199999999999</v>
      </c>
      <c r="D79">
        <v>4.8899999999999999E-2</v>
      </c>
      <c r="E79" t="s">
        <v>30</v>
      </c>
      <c r="F79">
        <v>0.95699999999999996</v>
      </c>
      <c r="I79">
        <v>1</v>
      </c>
      <c r="J79">
        <f t="shared" si="5"/>
        <v>0.32538</v>
      </c>
      <c r="S79">
        <v>217.2</v>
      </c>
      <c r="T79">
        <f t="shared" si="6"/>
        <v>217200</v>
      </c>
      <c r="U79">
        <v>197.4</v>
      </c>
      <c r="V79">
        <f t="shared" si="7"/>
        <v>197400</v>
      </c>
      <c r="W79">
        <v>0.43</v>
      </c>
      <c r="X79">
        <v>0.15</v>
      </c>
      <c r="Y79">
        <f t="shared" si="8"/>
        <v>0.34883720930232559</v>
      </c>
      <c r="Z79">
        <v>4.8899999999999999E-2</v>
      </c>
      <c r="AA79" t="s">
        <v>108</v>
      </c>
      <c r="AC79">
        <f t="shared" si="9"/>
        <v>6.7027919999999995E+26</v>
      </c>
      <c r="AD79">
        <v>9.34</v>
      </c>
      <c r="AE79">
        <v>1.75</v>
      </c>
    </row>
    <row r="80" spans="1:31" x14ac:dyDescent="0.2">
      <c r="A80" t="s">
        <v>109</v>
      </c>
      <c r="B80">
        <v>208.49959999999999</v>
      </c>
      <c r="C80">
        <v>17.159300000000002</v>
      </c>
      <c r="D80">
        <v>2.1600000000000001E-2</v>
      </c>
      <c r="E80" t="s">
        <v>30</v>
      </c>
      <c r="F80">
        <v>0.437</v>
      </c>
      <c r="I80">
        <v>1</v>
      </c>
      <c r="J80">
        <f t="shared" si="5"/>
        <v>0.14858000000000002</v>
      </c>
      <c r="L80" t="s">
        <v>132</v>
      </c>
      <c r="S80">
        <v>94</v>
      </c>
      <c r="T80">
        <f t="shared" si="6"/>
        <v>94000</v>
      </c>
      <c r="U80">
        <v>90.108999999999995</v>
      </c>
      <c r="V80">
        <f t="shared" si="7"/>
        <v>90109</v>
      </c>
      <c r="Y80" t="e">
        <f t="shared" si="8"/>
        <v>#DIV/0!</v>
      </c>
      <c r="Z80">
        <v>2.1600000000000001E-2</v>
      </c>
      <c r="AA80" t="s">
        <v>109</v>
      </c>
      <c r="AC80">
        <f t="shared" si="9"/>
        <v>2.9008400000000001E+26</v>
      </c>
      <c r="AD80">
        <v>12.47</v>
      </c>
      <c r="AE80">
        <v>0.85399999999999998</v>
      </c>
    </row>
    <row r="81" spans="1:31" x14ac:dyDescent="0.2">
      <c r="A81" t="s">
        <v>110</v>
      </c>
      <c r="B81">
        <v>209.50479999999999</v>
      </c>
      <c r="C81">
        <v>39.027299999999997</v>
      </c>
      <c r="D81">
        <v>3.7100000000000001E-2</v>
      </c>
      <c r="E81" t="s">
        <v>30</v>
      </c>
      <c r="F81">
        <v>0.73699999999999999</v>
      </c>
      <c r="I81">
        <v>1</v>
      </c>
      <c r="J81">
        <f t="shared" si="5"/>
        <v>0.25058000000000002</v>
      </c>
      <c r="S81">
        <v>163.4</v>
      </c>
      <c r="T81">
        <f t="shared" si="6"/>
        <v>163400</v>
      </c>
      <c r="U81">
        <v>151.9</v>
      </c>
      <c r="V81">
        <f t="shared" si="7"/>
        <v>151900</v>
      </c>
      <c r="W81">
        <v>0.33</v>
      </c>
      <c r="X81">
        <v>0.15</v>
      </c>
      <c r="Y81">
        <f t="shared" si="8"/>
        <v>0.45454545454545453</v>
      </c>
      <c r="Z81">
        <v>3.7100000000000001E-2</v>
      </c>
      <c r="AA81" t="s">
        <v>110</v>
      </c>
      <c r="AC81">
        <f t="shared" si="9"/>
        <v>5.0425239999999999E+26</v>
      </c>
      <c r="AD81">
        <v>4.1100000000000003</v>
      </c>
      <c r="AE81">
        <v>0.28599999999999998</v>
      </c>
    </row>
    <row r="82" spans="1:31" x14ac:dyDescent="0.2">
      <c r="A82" t="s">
        <v>111</v>
      </c>
      <c r="B82">
        <v>211.29329999999999</v>
      </c>
      <c r="C82">
        <v>11.7714</v>
      </c>
      <c r="D82">
        <v>1.7500000000000002E-2</v>
      </c>
      <c r="E82" t="s">
        <v>30</v>
      </c>
      <c r="F82">
        <v>0.35599999999999998</v>
      </c>
      <c r="I82">
        <v>1</v>
      </c>
      <c r="J82">
        <f t="shared" si="5"/>
        <v>0.12104000000000001</v>
      </c>
      <c r="S82">
        <v>76</v>
      </c>
      <c r="T82">
        <f t="shared" si="6"/>
        <v>76000</v>
      </c>
      <c r="U82">
        <v>73.367999999999995</v>
      </c>
      <c r="V82">
        <f t="shared" si="7"/>
        <v>73368</v>
      </c>
      <c r="W82">
        <v>0.64</v>
      </c>
      <c r="X82">
        <v>0.17</v>
      </c>
      <c r="Y82">
        <f t="shared" si="8"/>
        <v>0.265625</v>
      </c>
      <c r="Z82">
        <v>1.7500000000000002E-2</v>
      </c>
      <c r="AA82" t="s">
        <v>111</v>
      </c>
      <c r="AC82">
        <f t="shared" si="9"/>
        <v>2.34536E+26</v>
      </c>
      <c r="AD82">
        <v>7.79</v>
      </c>
      <c r="AE82">
        <v>1.7290000000000001</v>
      </c>
    </row>
    <row r="83" spans="1:31" x14ac:dyDescent="0.2">
      <c r="A83" t="s">
        <v>112</v>
      </c>
      <c r="B83">
        <v>212.76060000000001</v>
      </c>
      <c r="C83">
        <v>25.519400000000001</v>
      </c>
      <c r="D83">
        <v>3.1600000000000003E-2</v>
      </c>
      <c r="E83" t="s">
        <v>30</v>
      </c>
      <c r="F83">
        <v>0.63100000000000001</v>
      </c>
      <c r="I83">
        <v>1</v>
      </c>
      <c r="J83">
        <f t="shared" si="5"/>
        <v>0.21454000000000001</v>
      </c>
      <c r="S83">
        <v>138.6</v>
      </c>
      <c r="T83">
        <f t="shared" si="6"/>
        <v>138600</v>
      </c>
      <c r="U83">
        <v>130.30000000000001</v>
      </c>
      <c r="V83">
        <f t="shared" si="7"/>
        <v>130300.00000000001</v>
      </c>
      <c r="W83">
        <v>0.93</v>
      </c>
      <c r="X83">
        <v>0.21</v>
      </c>
      <c r="Y83">
        <f t="shared" si="8"/>
        <v>0.22580645161290319</v>
      </c>
      <c r="Z83">
        <v>3.1600000000000003E-2</v>
      </c>
      <c r="AA83" t="s">
        <v>112</v>
      </c>
      <c r="AC83">
        <f t="shared" si="9"/>
        <v>4.2771959999999997E+26</v>
      </c>
      <c r="AD83">
        <v>10.01</v>
      </c>
      <c r="AE83">
        <v>2.5510000000000002</v>
      </c>
    </row>
    <row r="84" spans="1:31" x14ac:dyDescent="0.2">
      <c r="A84" t="s">
        <v>113</v>
      </c>
      <c r="B84">
        <v>213.14850000000001</v>
      </c>
      <c r="C84">
        <v>30.8093</v>
      </c>
      <c r="D84">
        <v>1.44E-2</v>
      </c>
      <c r="E84" t="s">
        <v>30</v>
      </c>
      <c r="F84">
        <v>0.29399999999999998</v>
      </c>
      <c r="I84">
        <v>1</v>
      </c>
      <c r="J84">
        <f t="shared" si="5"/>
        <v>9.9960000000000007E-2</v>
      </c>
      <c r="S84">
        <v>62.4</v>
      </c>
      <c r="T84">
        <f t="shared" si="6"/>
        <v>62400</v>
      </c>
      <c r="U84">
        <v>60.598999999999997</v>
      </c>
      <c r="V84">
        <f t="shared" si="7"/>
        <v>60599</v>
      </c>
      <c r="W84">
        <v>0.44</v>
      </c>
      <c r="X84">
        <v>0.2</v>
      </c>
      <c r="Y84">
        <f t="shared" si="8"/>
        <v>0.45454545454545459</v>
      </c>
      <c r="Z84">
        <v>1.44E-2</v>
      </c>
      <c r="AA84" t="s">
        <v>113</v>
      </c>
      <c r="AC84">
        <f t="shared" si="9"/>
        <v>1.925664E+26</v>
      </c>
      <c r="AD84">
        <v>8.2100000000000009</v>
      </c>
      <c r="AE84">
        <v>0.71599999999999997</v>
      </c>
    </row>
    <row r="85" spans="1:31" x14ac:dyDescent="0.2">
      <c r="A85" t="s">
        <v>114</v>
      </c>
      <c r="B85">
        <v>218.9332</v>
      </c>
      <c r="C85">
        <v>22.5059</v>
      </c>
      <c r="D85">
        <v>2.9600000000000001E-2</v>
      </c>
      <c r="E85" t="s">
        <v>30</v>
      </c>
      <c r="F85">
        <v>0.59299999999999997</v>
      </c>
      <c r="I85">
        <v>1</v>
      </c>
      <c r="J85">
        <f t="shared" si="5"/>
        <v>0.20161999999999999</v>
      </c>
      <c r="S85">
        <v>129.6</v>
      </c>
      <c r="T85">
        <f t="shared" si="6"/>
        <v>129600</v>
      </c>
      <c r="U85">
        <v>122.3</v>
      </c>
      <c r="V85">
        <f t="shared" si="7"/>
        <v>122300</v>
      </c>
      <c r="W85">
        <v>0.81</v>
      </c>
      <c r="X85">
        <v>0.18</v>
      </c>
      <c r="Y85">
        <f t="shared" si="8"/>
        <v>0.22222222222222221</v>
      </c>
      <c r="Z85">
        <v>2.9600000000000001E-2</v>
      </c>
      <c r="AA85" t="s">
        <v>114</v>
      </c>
      <c r="AC85">
        <f t="shared" si="9"/>
        <v>3.9994559999999996E+26</v>
      </c>
      <c r="AD85">
        <v>14.18</v>
      </c>
      <c r="AE85">
        <v>2.1520000000000001</v>
      </c>
    </row>
    <row r="86" spans="1:31" x14ac:dyDescent="0.2">
      <c r="A86" t="s">
        <v>115</v>
      </c>
      <c r="B86">
        <v>232.70240000000001</v>
      </c>
      <c r="C86">
        <v>55.328800000000001</v>
      </c>
      <c r="D86">
        <v>4.6199999999999998E-2</v>
      </c>
      <c r="E86" t="s">
        <v>30</v>
      </c>
      <c r="F86">
        <v>0.90700000000000003</v>
      </c>
      <c r="I86">
        <v>1</v>
      </c>
      <c r="J86">
        <f t="shared" si="5"/>
        <v>0.30838000000000004</v>
      </c>
      <c r="S86">
        <v>204.8</v>
      </c>
      <c r="T86">
        <f t="shared" si="6"/>
        <v>204800</v>
      </c>
      <c r="U86">
        <v>187.1</v>
      </c>
      <c r="V86">
        <f t="shared" si="7"/>
        <v>187100</v>
      </c>
      <c r="W86">
        <v>0.24</v>
      </c>
      <c r="X86">
        <v>0.17</v>
      </c>
      <c r="Y86">
        <f t="shared" si="8"/>
        <v>0.70833333333333337</v>
      </c>
      <c r="Z86">
        <v>4.6199999999999998E-2</v>
      </c>
      <c r="AA86" t="s">
        <v>115</v>
      </c>
      <c r="AC86">
        <f t="shared" si="9"/>
        <v>6.320127999999999E+26</v>
      </c>
      <c r="AD86">
        <v>3.91</v>
      </c>
      <c r="AE86">
        <v>0.17799999999999999</v>
      </c>
    </row>
    <row r="87" spans="1:31" x14ac:dyDescent="0.2">
      <c r="A87" t="s">
        <v>116</v>
      </c>
      <c r="B87">
        <v>236.59569999999999</v>
      </c>
      <c r="C87">
        <v>45.097299999999997</v>
      </c>
      <c r="D87">
        <v>3.4500000000000003E-2</v>
      </c>
      <c r="E87" t="s">
        <v>30</v>
      </c>
      <c r="F87">
        <v>0.68700000000000006</v>
      </c>
      <c r="I87">
        <v>1</v>
      </c>
      <c r="J87">
        <f t="shared" si="5"/>
        <v>0.23358000000000004</v>
      </c>
      <c r="S87">
        <v>151.69999999999999</v>
      </c>
      <c r="T87">
        <f t="shared" si="6"/>
        <v>151700</v>
      </c>
      <c r="U87">
        <v>141.69999999999999</v>
      </c>
      <c r="V87">
        <f t="shared" si="7"/>
        <v>141700</v>
      </c>
      <c r="W87">
        <v>0.28999999999999998</v>
      </c>
      <c r="X87">
        <v>0.23</v>
      </c>
      <c r="Y87">
        <f t="shared" si="8"/>
        <v>0.79310344827586221</v>
      </c>
      <c r="Z87">
        <v>3.4500000000000003E-2</v>
      </c>
      <c r="AA87" t="s">
        <v>116</v>
      </c>
      <c r="AC87">
        <f t="shared" si="9"/>
        <v>4.6814619999999994E+26</v>
      </c>
      <c r="AD87">
        <v>2.5099999999999998</v>
      </c>
      <c r="AE87">
        <v>4.7E-2</v>
      </c>
    </row>
    <row r="88" spans="1:31" x14ac:dyDescent="0.2">
      <c r="A88" t="s">
        <v>117</v>
      </c>
      <c r="B88">
        <v>247.0857</v>
      </c>
      <c r="C88">
        <v>32.809699999999999</v>
      </c>
      <c r="D88">
        <v>3.3300000000000003E-2</v>
      </c>
      <c r="E88" t="s">
        <v>30</v>
      </c>
      <c r="F88">
        <v>0.66400000000000003</v>
      </c>
      <c r="I88">
        <v>1</v>
      </c>
      <c r="J88">
        <f t="shared" si="5"/>
        <v>0.22576000000000002</v>
      </c>
      <c r="S88">
        <v>146.30000000000001</v>
      </c>
      <c r="T88">
        <f t="shared" si="6"/>
        <v>146300</v>
      </c>
      <c r="U88">
        <v>137</v>
      </c>
      <c r="V88">
        <f t="shared" si="7"/>
        <v>137000</v>
      </c>
      <c r="W88">
        <v>0.84</v>
      </c>
      <c r="X88">
        <v>0.32</v>
      </c>
      <c r="Y88">
        <f t="shared" si="8"/>
        <v>0.38095238095238099</v>
      </c>
      <c r="Z88">
        <v>3.3300000000000003E-2</v>
      </c>
      <c r="AA88" t="s">
        <v>117</v>
      </c>
      <c r="AC88">
        <f t="shared" si="9"/>
        <v>4.5148179999999998E+26</v>
      </c>
      <c r="AD88">
        <v>12.87</v>
      </c>
      <c r="AE88">
        <v>0.92800000000000005</v>
      </c>
    </row>
    <row r="89" spans="1:31" x14ac:dyDescent="0.2">
      <c r="A89" t="s">
        <v>118</v>
      </c>
      <c r="B89">
        <v>259.65440000000001</v>
      </c>
      <c r="C89">
        <v>61.154499999999999</v>
      </c>
      <c r="D89">
        <v>5.3600000000000002E-2</v>
      </c>
      <c r="E89" t="s">
        <v>30</v>
      </c>
      <c r="F89">
        <v>1.0429999999999999</v>
      </c>
      <c r="I89">
        <v>1</v>
      </c>
      <c r="J89">
        <f t="shared" si="5"/>
        <v>0.35461999999999999</v>
      </c>
      <c r="S89">
        <v>238.9</v>
      </c>
      <c r="T89">
        <f t="shared" si="6"/>
        <v>238900</v>
      </c>
      <c r="U89">
        <v>215.2</v>
      </c>
      <c r="V89">
        <f t="shared" si="7"/>
        <v>215200</v>
      </c>
      <c r="W89">
        <v>0.21</v>
      </c>
      <c r="X89">
        <v>0.21</v>
      </c>
      <c r="Y89">
        <f t="shared" si="8"/>
        <v>1</v>
      </c>
      <c r="Z89">
        <v>5.3600000000000002E-2</v>
      </c>
      <c r="AA89" t="s">
        <v>118</v>
      </c>
      <c r="AC89">
        <f t="shared" si="9"/>
        <v>7.3724540000000007E+26</v>
      </c>
      <c r="AD89">
        <v>4.79</v>
      </c>
      <c r="AE89">
        <v>6.0999999999999999E-2</v>
      </c>
    </row>
    <row r="90" spans="1:31" x14ac:dyDescent="0.2">
      <c r="A90" t="s">
        <v>119</v>
      </c>
      <c r="B90">
        <v>339.68150000000003</v>
      </c>
      <c r="C90">
        <v>13.234999999999999</v>
      </c>
      <c r="D90">
        <v>6.2600000000000003E-2</v>
      </c>
      <c r="E90" t="s">
        <v>72</v>
      </c>
      <c r="F90">
        <v>1.206</v>
      </c>
      <c r="I90">
        <v>1</v>
      </c>
      <c r="J90">
        <f t="shared" si="5"/>
        <v>0.41004000000000002</v>
      </c>
      <c r="S90">
        <v>280.8</v>
      </c>
      <c r="T90">
        <f t="shared" si="6"/>
        <v>280800</v>
      </c>
      <c r="U90">
        <v>248.7</v>
      </c>
      <c r="V90">
        <f t="shared" si="7"/>
        <v>248700</v>
      </c>
      <c r="W90">
        <v>0.24</v>
      </c>
      <c r="X90">
        <v>0.18</v>
      </c>
      <c r="Y90">
        <f t="shared" si="8"/>
        <v>0.75</v>
      </c>
      <c r="Z90">
        <v>6.2600000000000003E-2</v>
      </c>
      <c r="AA90" t="s">
        <v>119</v>
      </c>
      <c r="AC90">
        <f t="shared" si="9"/>
        <v>8.665487999999999E+26</v>
      </c>
      <c r="AD90">
        <v>5.77</v>
      </c>
      <c r="AE90">
        <v>0.14199999999999999</v>
      </c>
    </row>
    <row r="91" spans="1:31" x14ac:dyDescent="0.2">
      <c r="A91" t="s">
        <v>120</v>
      </c>
      <c r="B91">
        <v>139.70830000000001</v>
      </c>
      <c r="C91">
        <v>42.012099999999997</v>
      </c>
      <c r="D91">
        <v>4.0899999999999999E-2</v>
      </c>
      <c r="E91" t="s">
        <v>30</v>
      </c>
      <c r="F91">
        <v>0.80800000000000005</v>
      </c>
      <c r="I91">
        <v>1</v>
      </c>
      <c r="J91">
        <f t="shared" si="5"/>
        <v>0.27472000000000002</v>
      </c>
      <c r="S91">
        <v>180.6</v>
      </c>
      <c r="T91">
        <f t="shared" si="6"/>
        <v>180600</v>
      </c>
      <c r="U91">
        <v>166.7</v>
      </c>
      <c r="V91">
        <f t="shared" si="7"/>
        <v>166700</v>
      </c>
      <c r="W91">
        <v>0.35</v>
      </c>
      <c r="X91">
        <v>0.23</v>
      </c>
      <c r="Y91">
        <f t="shared" si="8"/>
        <v>0.65714285714285725</v>
      </c>
      <c r="Z91">
        <v>4.0899999999999999E-2</v>
      </c>
      <c r="AA91" t="s">
        <v>120</v>
      </c>
      <c r="AC91">
        <f t="shared" si="9"/>
        <v>5.5733160000000001E+26</v>
      </c>
      <c r="AD91">
        <v>5.98</v>
      </c>
      <c r="AE91">
        <v>0.156</v>
      </c>
    </row>
    <row r="92" spans="1:31" x14ac:dyDescent="0.2">
      <c r="A92" t="s">
        <v>121</v>
      </c>
      <c r="B92">
        <v>255.0292</v>
      </c>
      <c r="C92">
        <v>23.127500000000001</v>
      </c>
      <c r="D92">
        <v>5.6800000000000003E-2</v>
      </c>
      <c r="E92" t="s">
        <v>30</v>
      </c>
      <c r="F92">
        <v>1.1020000000000001</v>
      </c>
      <c r="I92">
        <v>1</v>
      </c>
      <c r="J92">
        <f t="shared" si="5"/>
        <v>0.37468000000000007</v>
      </c>
      <c r="S92">
        <v>253.8</v>
      </c>
      <c r="T92">
        <f t="shared" si="6"/>
        <v>253800</v>
      </c>
      <c r="U92">
        <v>227.2</v>
      </c>
      <c r="V92">
        <f t="shared" si="7"/>
        <v>227200</v>
      </c>
      <c r="W92">
        <v>0.41</v>
      </c>
      <c r="X92">
        <v>0.13</v>
      </c>
      <c r="Y92">
        <f t="shared" si="8"/>
        <v>0.31707317073170732</v>
      </c>
      <c r="Z92">
        <v>5.6800000000000003E-2</v>
      </c>
      <c r="AA92" t="s">
        <v>121</v>
      </c>
      <c r="AC92">
        <f t="shared" si="9"/>
        <v>7.8322679999999996E+26</v>
      </c>
      <c r="AD92">
        <v>2.21</v>
      </c>
      <c r="AE92">
        <v>2.5999999999999999E-2</v>
      </c>
    </row>
    <row r="93" spans="1:31" x14ac:dyDescent="0.2">
      <c r="A93" t="s">
        <v>122</v>
      </c>
      <c r="B93">
        <v>255.58629999999999</v>
      </c>
      <c r="C93">
        <v>32.912500000000001</v>
      </c>
      <c r="D93">
        <v>8.2400000000000001E-2</v>
      </c>
      <c r="E93" t="s">
        <v>72</v>
      </c>
      <c r="F93">
        <v>1.5509999999999999</v>
      </c>
      <c r="I93">
        <v>1</v>
      </c>
      <c r="J93">
        <f t="shared" si="5"/>
        <v>0.52734000000000003</v>
      </c>
      <c r="S93">
        <v>374.8</v>
      </c>
      <c r="T93">
        <f t="shared" si="6"/>
        <v>374800</v>
      </c>
      <c r="U93">
        <v>319.89999999999998</v>
      </c>
      <c r="V93">
        <f t="shared" si="7"/>
        <v>319900</v>
      </c>
      <c r="W93">
        <v>0.53</v>
      </c>
      <c r="X93">
        <v>0.11</v>
      </c>
      <c r="Y93">
        <f t="shared" si="8"/>
        <v>0.20754716981132074</v>
      </c>
      <c r="Z93">
        <v>8.2400000000000001E-2</v>
      </c>
      <c r="AA93" t="s">
        <v>122</v>
      </c>
      <c r="AC93">
        <f t="shared" si="9"/>
        <v>1.1566328000000001E+27</v>
      </c>
      <c r="AD93">
        <v>9.4</v>
      </c>
      <c r="AE93">
        <v>2.2429999999999999</v>
      </c>
    </row>
    <row r="94" spans="1:31" x14ac:dyDescent="0.2">
      <c r="A94" t="s">
        <v>123</v>
      </c>
      <c r="B94">
        <v>11.8248</v>
      </c>
      <c r="C94">
        <v>15.542299999999999</v>
      </c>
      <c r="D94">
        <v>7.9899999999999999E-2</v>
      </c>
      <c r="E94" t="s">
        <v>72</v>
      </c>
      <c r="F94">
        <v>1.508</v>
      </c>
      <c r="I94">
        <v>1</v>
      </c>
      <c r="J94">
        <f t="shared" si="5"/>
        <v>0.51272000000000006</v>
      </c>
      <c r="S94">
        <v>362.8</v>
      </c>
      <c r="T94">
        <f t="shared" si="6"/>
        <v>362800</v>
      </c>
      <c r="U94">
        <v>311.10000000000002</v>
      </c>
      <c r="V94">
        <f t="shared" si="7"/>
        <v>311100</v>
      </c>
      <c r="W94">
        <v>0.2</v>
      </c>
      <c r="X94">
        <v>0.15</v>
      </c>
      <c r="Y94">
        <f t="shared" si="8"/>
        <v>0.74999999999999989</v>
      </c>
      <c r="Z94">
        <v>7.9899999999999999E-2</v>
      </c>
      <c r="AA94" t="s">
        <v>123</v>
      </c>
      <c r="AC94">
        <f t="shared" si="9"/>
        <v>1.1196008E+27</v>
      </c>
      <c r="AD94">
        <v>3.78</v>
      </c>
      <c r="AE94">
        <v>0.09</v>
      </c>
    </row>
    <row r="95" spans="1:31" x14ac:dyDescent="0.2">
      <c r="A95" t="s">
        <v>124</v>
      </c>
      <c r="B95">
        <v>23.730699999999999</v>
      </c>
      <c r="C95">
        <v>-8.7108000000000008</v>
      </c>
      <c r="D95">
        <v>9.2299999999999993E-2</v>
      </c>
      <c r="E95" t="s">
        <v>72</v>
      </c>
      <c r="F95">
        <v>1.7170000000000001</v>
      </c>
      <c r="I95">
        <v>1</v>
      </c>
      <c r="J95">
        <f t="shared" si="5"/>
        <v>0.58378000000000008</v>
      </c>
      <c r="S95">
        <v>422.7</v>
      </c>
      <c r="T95">
        <f t="shared" si="6"/>
        <v>422700</v>
      </c>
      <c r="U95">
        <v>354.2</v>
      </c>
      <c r="V95">
        <f t="shared" si="7"/>
        <v>354200</v>
      </c>
      <c r="W95">
        <v>0.28000000000000003</v>
      </c>
      <c r="X95">
        <v>0.13</v>
      </c>
      <c r="Y95">
        <f t="shared" si="8"/>
        <v>0.46428571428571425</v>
      </c>
      <c r="Z95">
        <v>9.2299999999999993E-2</v>
      </c>
      <c r="AA95" t="s">
        <v>124</v>
      </c>
      <c r="AC95">
        <f t="shared" si="9"/>
        <v>1.3044521999999998E+27</v>
      </c>
      <c r="AD95">
        <v>5.84</v>
      </c>
      <c r="AE95">
        <v>0.373</v>
      </c>
    </row>
    <row r="96" spans="1:31" x14ac:dyDescent="0.2">
      <c r="A96" t="s">
        <v>125</v>
      </c>
      <c r="B96">
        <v>130.2347</v>
      </c>
      <c r="C96">
        <v>30.5809</v>
      </c>
      <c r="D96">
        <v>5.2999999999999999E-2</v>
      </c>
      <c r="E96" t="s">
        <v>30</v>
      </c>
      <c r="F96">
        <v>1.032</v>
      </c>
      <c r="I96">
        <v>1</v>
      </c>
      <c r="J96">
        <f t="shared" si="5"/>
        <v>0.35088000000000003</v>
      </c>
      <c r="S96">
        <v>236.1</v>
      </c>
      <c r="T96">
        <f t="shared" si="6"/>
        <v>236100</v>
      </c>
      <c r="U96">
        <v>213</v>
      </c>
      <c r="V96">
        <f t="shared" si="7"/>
        <v>213000</v>
      </c>
      <c r="W96">
        <v>0.21</v>
      </c>
      <c r="X96">
        <v>0.15</v>
      </c>
      <c r="Y96">
        <f t="shared" si="8"/>
        <v>0.7142857142857143</v>
      </c>
      <c r="Z96">
        <v>5.2999999999999999E-2</v>
      </c>
      <c r="AA96" t="s">
        <v>125</v>
      </c>
      <c r="AC96">
        <f t="shared" si="9"/>
        <v>7.2860459999999995E+26</v>
      </c>
      <c r="AD96">
        <v>3.28</v>
      </c>
      <c r="AE96">
        <v>0.114</v>
      </c>
    </row>
    <row r="97" spans="1:31" x14ac:dyDescent="0.2">
      <c r="A97" t="s">
        <v>126</v>
      </c>
      <c r="B97">
        <v>19.7714</v>
      </c>
      <c r="C97">
        <v>0.62919999999999998</v>
      </c>
      <c r="D97">
        <v>3.27E-2</v>
      </c>
      <c r="E97" t="s">
        <v>30</v>
      </c>
      <c r="F97">
        <v>0.65300000000000002</v>
      </c>
      <c r="I97">
        <v>1</v>
      </c>
      <c r="J97">
        <f t="shared" si="5"/>
        <v>0.22202000000000002</v>
      </c>
      <c r="S97">
        <v>143.6</v>
      </c>
      <c r="T97">
        <f t="shared" si="6"/>
        <v>143600</v>
      </c>
      <c r="U97">
        <v>134.6</v>
      </c>
      <c r="V97">
        <f t="shared" si="7"/>
        <v>134600</v>
      </c>
      <c r="W97">
        <v>0.18</v>
      </c>
      <c r="X97">
        <v>0.17</v>
      </c>
      <c r="Y97">
        <f t="shared" si="8"/>
        <v>0.94444444444444453</v>
      </c>
      <c r="Z97">
        <v>3.27E-2</v>
      </c>
      <c r="AA97" t="s">
        <v>126</v>
      </c>
      <c r="AC97">
        <f t="shared" si="9"/>
        <v>4.431496E+26</v>
      </c>
      <c r="AD97">
        <v>14.05</v>
      </c>
      <c r="AE97">
        <v>0.73099999999999998</v>
      </c>
    </row>
    <row r="98" spans="1:31" x14ac:dyDescent="0.2">
      <c r="A98" t="s">
        <v>127</v>
      </c>
      <c r="B98">
        <v>123.55200000000001</v>
      </c>
      <c r="C98">
        <v>10.629</v>
      </c>
      <c r="D98">
        <v>5.33E-2</v>
      </c>
      <c r="E98" t="s">
        <v>30</v>
      </c>
      <c r="F98">
        <v>1.038</v>
      </c>
      <c r="I98">
        <v>1</v>
      </c>
      <c r="J98">
        <f t="shared" si="5"/>
        <v>0.35292000000000001</v>
      </c>
      <c r="S98">
        <v>237.5</v>
      </c>
      <c r="T98">
        <f t="shared" si="6"/>
        <v>237500</v>
      </c>
      <c r="U98">
        <v>214.1</v>
      </c>
      <c r="V98">
        <f t="shared" si="7"/>
        <v>214100</v>
      </c>
      <c r="W98">
        <v>0.22</v>
      </c>
      <c r="X98">
        <v>0.17</v>
      </c>
      <c r="Y98">
        <f t="shared" si="8"/>
        <v>0.77272727272727282</v>
      </c>
      <c r="Z98">
        <v>5.33E-2</v>
      </c>
      <c r="AA98" t="s">
        <v>127</v>
      </c>
      <c r="AC98">
        <f t="shared" si="9"/>
        <v>7.3292499999999994E+26</v>
      </c>
      <c r="AD98">
        <v>4.07</v>
      </c>
      <c r="AE98">
        <v>9.1999999999999998E-2</v>
      </c>
    </row>
    <row r="99" spans="1:31" x14ac:dyDescent="0.2">
      <c r="A99" t="s">
        <v>128</v>
      </c>
      <c r="B99">
        <v>149.18289999999999</v>
      </c>
      <c r="C99">
        <v>20.486000000000001</v>
      </c>
      <c r="D99">
        <v>2.53E-2</v>
      </c>
      <c r="E99" t="s">
        <v>30</v>
      </c>
      <c r="F99">
        <v>0.50900000000000001</v>
      </c>
      <c r="I99">
        <v>1</v>
      </c>
      <c r="J99">
        <f t="shared" si="5"/>
        <v>0.17306000000000002</v>
      </c>
      <c r="S99">
        <v>110.5</v>
      </c>
      <c r="T99">
        <f t="shared" si="6"/>
        <v>110500</v>
      </c>
      <c r="U99">
        <v>105.1</v>
      </c>
      <c r="V99">
        <f t="shared" si="7"/>
        <v>105100</v>
      </c>
      <c r="W99">
        <v>0.46</v>
      </c>
      <c r="X99">
        <v>0.14000000000000001</v>
      </c>
      <c r="Y99">
        <f t="shared" si="8"/>
        <v>0.30434782608695654</v>
      </c>
      <c r="Z99">
        <v>2.53E-2</v>
      </c>
      <c r="AA99" t="s">
        <v>128</v>
      </c>
      <c r="AC99">
        <f t="shared" si="9"/>
        <v>3.4100300000000003E+26</v>
      </c>
      <c r="AD99">
        <v>8.49</v>
      </c>
      <c r="AE99">
        <v>1.133</v>
      </c>
    </row>
    <row r="100" spans="1:31" x14ac:dyDescent="0.2">
      <c r="A100" t="s">
        <v>129</v>
      </c>
      <c r="B100">
        <v>173.9092</v>
      </c>
      <c r="C100">
        <v>15.2789</v>
      </c>
      <c r="D100">
        <v>3.6299999999999999E-2</v>
      </c>
      <c r="E100" t="s">
        <v>30</v>
      </c>
      <c r="F100">
        <v>0.72099999999999997</v>
      </c>
      <c r="I100">
        <v>1</v>
      </c>
      <c r="J100">
        <f t="shared" si="5"/>
        <v>0.24514</v>
      </c>
      <c r="S100">
        <v>159.80000000000001</v>
      </c>
      <c r="T100">
        <f t="shared" si="6"/>
        <v>159800</v>
      </c>
      <c r="U100">
        <v>148.80000000000001</v>
      </c>
      <c r="V100">
        <f t="shared" si="7"/>
        <v>148800</v>
      </c>
      <c r="W100">
        <v>0.32</v>
      </c>
      <c r="X100">
        <v>0.1</v>
      </c>
      <c r="Y100">
        <f t="shared" si="8"/>
        <v>0.3125</v>
      </c>
      <c r="Z100">
        <v>3.6299999999999999E-2</v>
      </c>
      <c r="AA100" t="s">
        <v>129</v>
      </c>
      <c r="AC100">
        <f t="shared" si="9"/>
        <v>4.9314280000000002E+26</v>
      </c>
      <c r="AD100">
        <v>5.83</v>
      </c>
      <c r="AE100">
        <v>0.872</v>
      </c>
    </row>
    <row r="101" spans="1:31" x14ac:dyDescent="0.2">
      <c r="A101" t="s">
        <v>130</v>
      </c>
      <c r="B101">
        <v>217.63470000000001</v>
      </c>
      <c r="C101">
        <v>16.1235</v>
      </c>
      <c r="D101">
        <v>5.33E-2</v>
      </c>
      <c r="E101" t="s">
        <v>30</v>
      </c>
      <c r="F101">
        <v>1.038</v>
      </c>
      <c r="I101">
        <v>1</v>
      </c>
      <c r="J101">
        <f t="shared" si="5"/>
        <v>0.35292000000000001</v>
      </c>
      <c r="S101">
        <v>237.5</v>
      </c>
      <c r="T101">
        <f t="shared" si="6"/>
        <v>237500</v>
      </c>
      <c r="U101">
        <v>214.1</v>
      </c>
      <c r="V101">
        <f t="shared" si="7"/>
        <v>214100</v>
      </c>
      <c r="W101">
        <v>0.25</v>
      </c>
      <c r="X101">
        <v>0.11</v>
      </c>
      <c r="Y101">
        <f t="shared" si="8"/>
        <v>0.44</v>
      </c>
      <c r="Z101">
        <v>5.33E-2</v>
      </c>
      <c r="AA101" t="s">
        <v>130</v>
      </c>
      <c r="AC101">
        <f t="shared" si="9"/>
        <v>7.3292499999999994E+26</v>
      </c>
      <c r="AD101">
        <v>3.38</v>
      </c>
      <c r="AE101">
        <v>0.25</v>
      </c>
    </row>
    <row r="102" spans="1:31" ht="16" thickBot="1" x14ac:dyDescent="0.25">
      <c r="A102" t="s">
        <v>131</v>
      </c>
      <c r="B102">
        <v>246.20849999999999</v>
      </c>
      <c r="C102">
        <v>9.6071000000000009</v>
      </c>
      <c r="D102">
        <v>3.4299999999999997E-2</v>
      </c>
      <c r="E102" t="s">
        <v>30</v>
      </c>
      <c r="F102">
        <v>0.68300000000000005</v>
      </c>
      <c r="I102">
        <v>1</v>
      </c>
      <c r="J102">
        <f t="shared" si="5"/>
        <v>0.23222000000000004</v>
      </c>
      <c r="S102">
        <v>150.80000000000001</v>
      </c>
      <c r="T102">
        <f t="shared" si="6"/>
        <v>150800</v>
      </c>
      <c r="U102">
        <v>140.9</v>
      </c>
      <c r="V102">
        <f t="shared" si="7"/>
        <v>140900</v>
      </c>
      <c r="W102">
        <v>1.25</v>
      </c>
      <c r="X102">
        <v>0.15</v>
      </c>
      <c r="Y102">
        <f t="shared" si="8"/>
        <v>0.12</v>
      </c>
      <c r="Z102">
        <v>3.4299999999999997E-2</v>
      </c>
      <c r="AA102" t="s">
        <v>131</v>
      </c>
      <c r="AC102">
        <f t="shared" si="9"/>
        <v>4.6536880000000001E+26</v>
      </c>
      <c r="AD102">
        <v>12.38</v>
      </c>
      <c r="AE102">
        <v>9.375</v>
      </c>
    </row>
    <row r="103" spans="1:31" ht="16" x14ac:dyDescent="0.2">
      <c r="A103" s="9" t="s">
        <v>148</v>
      </c>
      <c r="B103" s="6">
        <v>53.173699999999997</v>
      </c>
      <c r="C103" s="6">
        <v>-0.1832</v>
      </c>
      <c r="D103" s="6">
        <v>8.5099999999999995E-2</v>
      </c>
      <c r="E103" s="5" t="s">
        <v>72</v>
      </c>
      <c r="F103">
        <v>1.597</v>
      </c>
      <c r="I103">
        <v>1</v>
      </c>
      <c r="J103">
        <f t="shared" si="5"/>
        <v>0.54298000000000002</v>
      </c>
      <c r="S103" s="7">
        <v>369</v>
      </c>
      <c r="T103">
        <f t="shared" si="6"/>
        <v>369000</v>
      </c>
      <c r="U103" s="7">
        <v>314</v>
      </c>
      <c r="V103">
        <f t="shared" si="7"/>
        <v>314000</v>
      </c>
      <c r="W103" s="7">
        <v>0.2</v>
      </c>
      <c r="X103" s="7">
        <v>0.13</v>
      </c>
      <c r="Y103">
        <f t="shared" si="8"/>
        <v>0.65</v>
      </c>
      <c r="Z103" s="7">
        <v>8.4907999999999997E-2</v>
      </c>
      <c r="AA103" s="4" t="s">
        <v>147</v>
      </c>
      <c r="AC103">
        <f t="shared" si="9"/>
        <v>1.138734E+27</v>
      </c>
      <c r="AD103">
        <v>4.93</v>
      </c>
      <c r="AE103">
        <v>0.11600000000000001</v>
      </c>
    </row>
    <row r="104" spans="1:31" ht="17" thickBot="1" x14ac:dyDescent="0.25">
      <c r="A104" s="4" t="s">
        <v>135</v>
      </c>
      <c r="B104">
        <v>116.78789999999999</v>
      </c>
      <c r="C104">
        <v>17.207699999999999</v>
      </c>
      <c r="D104">
        <v>7.5399999999999995E-2</v>
      </c>
      <c r="E104" t="s">
        <v>72</v>
      </c>
      <c r="F104">
        <v>1.431</v>
      </c>
      <c r="I104">
        <v>1</v>
      </c>
      <c r="J104">
        <f t="shared" si="5"/>
        <v>0.48654000000000003</v>
      </c>
      <c r="S104" s="7">
        <v>331</v>
      </c>
      <c r="T104">
        <f t="shared" si="6"/>
        <v>331000</v>
      </c>
      <c r="U104" s="7">
        <v>286</v>
      </c>
      <c r="V104">
        <f t="shared" si="7"/>
        <v>286000</v>
      </c>
      <c r="W104" s="7">
        <v>0.28999999999999998</v>
      </c>
      <c r="X104" s="7">
        <v>0.1</v>
      </c>
      <c r="Y104">
        <f t="shared" si="8"/>
        <v>0.34482758620689657</v>
      </c>
      <c r="Z104">
        <v>7.5399999999999995E-2</v>
      </c>
      <c r="AA104" s="4" t="s">
        <v>135</v>
      </c>
      <c r="AC104">
        <f t="shared" si="9"/>
        <v>1.021466E+27</v>
      </c>
      <c r="AD104">
        <v>5.37</v>
      </c>
      <c r="AE104">
        <v>4.8120000000000003</v>
      </c>
    </row>
    <row r="105" spans="1:31" ht="17" thickBot="1" x14ac:dyDescent="0.25">
      <c r="A105" s="5" t="s">
        <v>136</v>
      </c>
      <c r="B105">
        <v>118.7062</v>
      </c>
      <c r="C105">
        <v>14.651899999999999</v>
      </c>
      <c r="D105">
        <v>5.0299999999999997E-2</v>
      </c>
      <c r="E105" t="s">
        <v>72</v>
      </c>
      <c r="F105">
        <v>0.98299999999999998</v>
      </c>
      <c r="I105">
        <v>1</v>
      </c>
      <c r="J105">
        <f t="shared" si="5"/>
        <v>0.33422000000000002</v>
      </c>
      <c r="S105" s="7">
        <v>218</v>
      </c>
      <c r="T105">
        <f t="shared" si="6"/>
        <v>218000</v>
      </c>
      <c r="U105" s="7">
        <v>197</v>
      </c>
      <c r="V105">
        <f t="shared" si="7"/>
        <v>197000</v>
      </c>
      <c r="W105" s="7">
        <v>0.16</v>
      </c>
      <c r="X105" s="7">
        <v>0.13</v>
      </c>
      <c r="Y105">
        <f t="shared" si="8"/>
        <v>0.8125</v>
      </c>
      <c r="Z105">
        <v>5.0299999999999997E-2</v>
      </c>
      <c r="AA105" s="5" t="s">
        <v>136</v>
      </c>
      <c r="AC105">
        <f t="shared" si="9"/>
        <v>6.7274799999999994E+26</v>
      </c>
      <c r="AD105">
        <v>2.46</v>
      </c>
      <c r="AE105">
        <v>3.6999999999999998E-2</v>
      </c>
    </row>
    <row r="106" spans="1:31" ht="17" thickBot="1" x14ac:dyDescent="0.25">
      <c r="A106" s="5" t="s">
        <v>137</v>
      </c>
      <c r="B106">
        <v>131.39420000000001</v>
      </c>
      <c r="C106">
        <v>57.494599999999998</v>
      </c>
      <c r="D106">
        <v>2.6200000000000001E-2</v>
      </c>
      <c r="E106" t="s">
        <v>30</v>
      </c>
      <c r="F106">
        <v>0.52700000000000002</v>
      </c>
      <c r="I106">
        <v>1</v>
      </c>
      <c r="J106">
        <f t="shared" si="5"/>
        <v>0.17918000000000003</v>
      </c>
      <c r="S106" s="7">
        <v>111</v>
      </c>
      <c r="T106">
        <f t="shared" si="6"/>
        <v>111000</v>
      </c>
      <c r="U106" s="7">
        <v>106</v>
      </c>
      <c r="V106">
        <f t="shared" si="7"/>
        <v>106000</v>
      </c>
      <c r="W106" s="7">
        <v>0.28999999999999998</v>
      </c>
      <c r="X106" s="7">
        <v>0.24</v>
      </c>
      <c r="Y106">
        <f t="shared" si="8"/>
        <v>0.82758620689655171</v>
      </c>
      <c r="Z106">
        <v>2.6200000000000001E-2</v>
      </c>
      <c r="AA106" s="5" t="s">
        <v>137</v>
      </c>
      <c r="AC106">
        <f t="shared" si="9"/>
        <v>3.4254600000000003E+26</v>
      </c>
      <c r="AD106">
        <v>6</v>
      </c>
      <c r="AE106">
        <v>0.41299999999999998</v>
      </c>
    </row>
    <row r="107" spans="1:31" ht="17" thickBot="1" x14ac:dyDescent="0.25">
      <c r="A107" s="5" t="s">
        <v>138</v>
      </c>
      <c r="B107">
        <v>175.71260000000001</v>
      </c>
      <c r="C107">
        <v>17.693000000000001</v>
      </c>
      <c r="D107">
        <v>4.7699999999999999E-2</v>
      </c>
      <c r="E107" t="s">
        <v>30</v>
      </c>
      <c r="F107">
        <v>0.93600000000000005</v>
      </c>
      <c r="I107">
        <v>1</v>
      </c>
      <c r="J107">
        <f t="shared" si="5"/>
        <v>0.31824000000000002</v>
      </c>
      <c r="S107" s="7">
        <v>208</v>
      </c>
      <c r="T107">
        <f t="shared" si="6"/>
        <v>208000</v>
      </c>
      <c r="U107" s="7">
        <v>189</v>
      </c>
      <c r="V107">
        <f t="shared" si="7"/>
        <v>189000</v>
      </c>
      <c r="W107" s="7">
        <v>0.23</v>
      </c>
      <c r="X107" s="7">
        <v>0.16</v>
      </c>
      <c r="Y107">
        <f t="shared" si="8"/>
        <v>0.69565217391304346</v>
      </c>
      <c r="Z107" s="7">
        <v>4.7738999999999997E-2</v>
      </c>
      <c r="AA107" s="5" t="s">
        <v>138</v>
      </c>
      <c r="AC107">
        <f t="shared" si="9"/>
        <v>6.4188800000000002E+26</v>
      </c>
      <c r="AD107">
        <v>4.17</v>
      </c>
      <c r="AE107">
        <v>0.21299999999999999</v>
      </c>
    </row>
    <row r="108" spans="1:31" ht="17" thickBot="1" x14ac:dyDescent="0.25">
      <c r="A108" s="5" t="s">
        <v>139</v>
      </c>
      <c r="B108">
        <v>225.15539999999999</v>
      </c>
      <c r="C108">
        <v>15.635199999999999</v>
      </c>
      <c r="D108">
        <v>3.32E-2</v>
      </c>
      <c r="E108" t="s">
        <v>30</v>
      </c>
      <c r="F108">
        <v>0.66600000000000004</v>
      </c>
      <c r="I108">
        <v>1</v>
      </c>
      <c r="J108">
        <f t="shared" si="5"/>
        <v>0.22644000000000003</v>
      </c>
      <c r="S108" s="7">
        <v>143</v>
      </c>
      <c r="T108">
        <f t="shared" si="6"/>
        <v>143000</v>
      </c>
      <c r="U108" s="7">
        <v>134</v>
      </c>
      <c r="V108">
        <f t="shared" si="7"/>
        <v>134000</v>
      </c>
      <c r="W108" s="7">
        <v>0.22</v>
      </c>
      <c r="X108" s="7">
        <v>0.16</v>
      </c>
      <c r="Y108">
        <f t="shared" si="8"/>
        <v>0.72727272727272729</v>
      </c>
      <c r="Z108" s="7">
        <v>3.3249000000000001E-2</v>
      </c>
      <c r="AA108" s="5" t="s">
        <v>139</v>
      </c>
      <c r="AC108">
        <f t="shared" si="9"/>
        <v>4.41298E+26</v>
      </c>
      <c r="AD108">
        <v>3.34</v>
      </c>
      <c r="AE108">
        <v>0.108</v>
      </c>
    </row>
    <row r="109" spans="1:31" ht="16" x14ac:dyDescent="0.2">
      <c r="A109" s="5" t="s">
        <v>140</v>
      </c>
      <c r="B109">
        <v>226.57990000000001</v>
      </c>
      <c r="C109">
        <v>8.1118000000000006</v>
      </c>
      <c r="D109">
        <v>3.9800000000000002E-2</v>
      </c>
      <c r="E109" t="s">
        <v>30</v>
      </c>
      <c r="F109">
        <v>0.78800000000000003</v>
      </c>
      <c r="I109">
        <v>1</v>
      </c>
      <c r="J109">
        <f t="shared" si="5"/>
        <v>0.26792000000000005</v>
      </c>
      <c r="S109" s="7">
        <v>171</v>
      </c>
      <c r="T109">
        <f t="shared" si="6"/>
        <v>171000</v>
      </c>
      <c r="U109" s="7">
        <v>158</v>
      </c>
      <c r="V109">
        <f t="shared" si="7"/>
        <v>158000</v>
      </c>
      <c r="W109" s="7">
        <v>0.46</v>
      </c>
      <c r="X109" s="7">
        <v>0.23</v>
      </c>
      <c r="Y109">
        <f t="shared" si="8"/>
        <v>0.5</v>
      </c>
      <c r="Z109" s="7">
        <v>3.9634000000000003E-2</v>
      </c>
      <c r="AA109" s="5" t="s">
        <v>140</v>
      </c>
      <c r="AC109">
        <f t="shared" si="9"/>
        <v>5.2770600000000001E+26</v>
      </c>
      <c r="AD109">
        <v>7.88</v>
      </c>
      <c r="AE109">
        <v>0.54500000000000004</v>
      </c>
    </row>
    <row r="110" spans="1:31" ht="16" x14ac:dyDescent="0.2">
      <c r="A110" t="s">
        <v>141</v>
      </c>
      <c r="B110">
        <v>234.1251</v>
      </c>
      <c r="C110">
        <v>35.342199999999998</v>
      </c>
      <c r="D110">
        <v>3.1899999999999998E-2</v>
      </c>
      <c r="E110" t="s">
        <v>30</v>
      </c>
      <c r="F110">
        <v>0.63700000000000001</v>
      </c>
      <c r="I110">
        <v>1</v>
      </c>
      <c r="J110">
        <f t="shared" si="5"/>
        <v>0.21658000000000002</v>
      </c>
      <c r="S110" s="7">
        <v>140</v>
      </c>
      <c r="T110">
        <f t="shared" si="6"/>
        <v>140000</v>
      </c>
      <c r="U110" s="7">
        <v>131.4</v>
      </c>
      <c r="V110">
        <f t="shared" si="7"/>
        <v>131400</v>
      </c>
      <c r="W110" s="8">
        <v>0.25</v>
      </c>
      <c r="X110" s="8">
        <v>0.14000000000000001</v>
      </c>
      <c r="Y110">
        <f>X110/W110</f>
        <v>0.56000000000000005</v>
      </c>
      <c r="Z110">
        <v>3.1899999999999998E-2</v>
      </c>
      <c r="AA110" t="s">
        <v>141</v>
      </c>
      <c r="AC110">
        <f t="shared" si="9"/>
        <v>4.3204000000000002E+26</v>
      </c>
      <c r="AD110">
        <v>2.38</v>
      </c>
      <c r="AE110">
        <v>7.0000000000000007E-2</v>
      </c>
    </row>
    <row r="111" spans="1:31" ht="16" x14ac:dyDescent="0.2">
      <c r="A111" t="s">
        <v>142</v>
      </c>
      <c r="B111">
        <v>235.94569999999999</v>
      </c>
      <c r="C111">
        <v>43.7911</v>
      </c>
      <c r="D111">
        <v>3.6900000000000002E-2</v>
      </c>
      <c r="E111" t="s">
        <v>30</v>
      </c>
      <c r="F111">
        <v>0.73299999999999998</v>
      </c>
      <c r="I111">
        <v>1</v>
      </c>
      <c r="J111">
        <f t="shared" si="5"/>
        <v>0.24922000000000002</v>
      </c>
      <c r="S111" s="7">
        <v>162.5</v>
      </c>
      <c r="T111">
        <f t="shared" si="6"/>
        <v>162500</v>
      </c>
      <c r="U111" s="7">
        <v>151.1</v>
      </c>
      <c r="V111">
        <f t="shared" si="7"/>
        <v>151100</v>
      </c>
      <c r="W111" s="8">
        <v>0.88</v>
      </c>
      <c r="X111" s="8">
        <v>0.26</v>
      </c>
      <c r="Y111">
        <f>X111/W111</f>
        <v>0.29545454545454547</v>
      </c>
      <c r="Z111">
        <v>3.6900000000000002E-2</v>
      </c>
      <c r="AA111" t="s">
        <v>142</v>
      </c>
      <c r="AC111">
        <f t="shared" si="9"/>
        <v>5.01475E+26</v>
      </c>
      <c r="AD111">
        <v>13.38</v>
      </c>
      <c r="AE111">
        <v>1.52</v>
      </c>
    </row>
    <row r="112" spans="1:31" ht="16" x14ac:dyDescent="0.2">
      <c r="A112" t="s">
        <v>143</v>
      </c>
      <c r="B112">
        <v>132.18109999999999</v>
      </c>
      <c r="C112">
        <v>16.738199999999999</v>
      </c>
      <c r="D112">
        <v>7.9000000000000001E-2</v>
      </c>
      <c r="E112" t="s">
        <v>72</v>
      </c>
      <c r="F112">
        <v>1.4930000000000001</v>
      </c>
      <c r="I112">
        <v>1</v>
      </c>
      <c r="J112">
        <f t="shared" si="5"/>
        <v>0.50762000000000007</v>
      </c>
      <c r="S112" s="7">
        <v>358.5</v>
      </c>
      <c r="T112">
        <f t="shared" si="6"/>
        <v>358500</v>
      </c>
      <c r="U112" s="7">
        <v>307.89999999999998</v>
      </c>
      <c r="V112">
        <f t="shared" si="7"/>
        <v>307900</v>
      </c>
      <c r="W112" s="8">
        <v>0.48</v>
      </c>
      <c r="X112" s="8">
        <v>0.18</v>
      </c>
      <c r="Y112">
        <f>X112/W112</f>
        <v>0.375</v>
      </c>
      <c r="Z112">
        <v>7.9000000000000001E-2</v>
      </c>
      <c r="AA112" t="s">
        <v>143</v>
      </c>
      <c r="AC112">
        <f t="shared" si="9"/>
        <v>1.106331E+27</v>
      </c>
      <c r="AD112">
        <v>1.94</v>
      </c>
      <c r="AE112">
        <v>1.4E-2</v>
      </c>
    </row>
    <row r="115" spans="30:30" x14ac:dyDescent="0.2">
      <c r="AD11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Antoniu Fodor</dc:creator>
  <cp:lastModifiedBy>Fodor, Antoniu</cp:lastModifiedBy>
  <dcterms:created xsi:type="dcterms:W3CDTF">2023-10-11T17:24:30Z</dcterms:created>
  <dcterms:modified xsi:type="dcterms:W3CDTF">2025-06-05T16:26:30Z</dcterms:modified>
</cp:coreProperties>
</file>